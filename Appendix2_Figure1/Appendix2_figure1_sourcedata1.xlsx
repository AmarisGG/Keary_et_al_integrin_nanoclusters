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1\SMB02\Amaris\4- Proyectos Theory\Proyecto Sarah\Kearyetal_Paper_elife2025\Figure DNA paint\"/>
    </mc:Choice>
  </mc:AlternateContent>
  <xr:revisionPtr revIDLastSave="0" documentId="13_ncr:1_{7BA76818-575E-4BAA-9CDB-89B204D572C3}" xr6:coauthVersionLast="47" xr6:coauthVersionMax="47" xr10:uidLastSave="{00000000-0000-0000-0000-000000000000}"/>
  <bookViews>
    <workbookView xWindow="28680" yWindow="-120" windowWidth="29040" windowHeight="15720" xr2:uid="{75BCF743-07D5-47E8-A1DB-F1DE156F346F}"/>
  </bookViews>
  <sheets>
    <sheet name="Sheet1" sheetId="1" r:id="rId1"/>
  </sheets>
  <definedNames>
    <definedName name="_xlchart.v1.0" hidden="1">Sheet1!$E$63:$E$72</definedName>
    <definedName name="_xlchart.v1.1" hidden="1">Sheet1!$F$22:$F$29</definedName>
    <definedName name="_xlchart.v1.10" hidden="1">Sheet1!$Z$6:$Z$15</definedName>
    <definedName name="_xlchart.v1.11" hidden="1">Sheet1!$AC$22:$AC$28</definedName>
    <definedName name="_xlchart.v1.12" hidden="1">Sheet1!$AC$36:$AC$45</definedName>
    <definedName name="_xlchart.v1.13" hidden="1">Sheet1!$AC$50:$AC$58</definedName>
    <definedName name="_xlchart.v1.14" hidden="1">Sheet1!$AC$6:$AC$15</definedName>
    <definedName name="_xlchart.v1.15" hidden="1">Sheet1!$I$22:$I$29</definedName>
    <definedName name="_xlchart.v1.16" hidden="1">Sheet1!$I$36:$I$45</definedName>
    <definedName name="_xlchart.v1.17" hidden="1">Sheet1!$I$50:$I$58</definedName>
    <definedName name="_xlchart.v1.18" hidden="1">Sheet1!$I$6:$I$15</definedName>
    <definedName name="_xlchart.v1.2" hidden="1">Sheet1!$F$36:$F$45</definedName>
    <definedName name="_xlchart.v1.3" hidden="1">Sheet1!$F$50:$F$58</definedName>
    <definedName name="_xlchart.v1.4" hidden="1">Sheet1!$F$63:$F$72</definedName>
    <definedName name="_xlchart.v1.5" hidden="1">Sheet1!$F$6:$F$15</definedName>
    <definedName name="_xlchart.v1.6" hidden="1">Sheet1!$Z$22:$Z$28</definedName>
    <definedName name="_xlchart.v1.7" hidden="1">Sheet1!$Z$36:$Z$45</definedName>
    <definedName name="_xlchart.v1.8" hidden="1">Sheet1!$Z$50:$Z$59</definedName>
    <definedName name="_xlchart.v1.9" hidden="1">Sheet1!$Z$63:$Z$72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73" i="1" l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J73" i="1"/>
  <c r="I73" i="1"/>
  <c r="H73" i="1"/>
  <c r="G73" i="1"/>
  <c r="F73" i="1"/>
  <c r="E73" i="1"/>
  <c r="D73" i="1"/>
  <c r="C73" i="1"/>
  <c r="W16" i="1"/>
  <c r="X16" i="1"/>
  <c r="Y16" i="1"/>
  <c r="Z16" i="1"/>
  <c r="AA16" i="1"/>
  <c r="AB16" i="1"/>
  <c r="AC16" i="1"/>
  <c r="AD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C16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J60" i="1"/>
  <c r="I60" i="1"/>
  <c r="H60" i="1"/>
  <c r="G60" i="1"/>
  <c r="F60" i="1"/>
  <c r="E60" i="1"/>
  <c r="D60" i="1"/>
  <c r="C60" i="1"/>
  <c r="AD46" i="1"/>
  <c r="AC46" i="1"/>
  <c r="AB46" i="1"/>
  <c r="AA46" i="1"/>
  <c r="Z46" i="1"/>
  <c r="Y46" i="1"/>
  <c r="X46" i="1"/>
  <c r="W46" i="1"/>
  <c r="J46" i="1"/>
  <c r="I46" i="1"/>
  <c r="H46" i="1"/>
  <c r="G46" i="1"/>
  <c r="F46" i="1"/>
  <c r="E46" i="1"/>
  <c r="D46" i="1"/>
  <c r="C46" i="1"/>
  <c r="AD32" i="1"/>
  <c r="AC32" i="1"/>
  <c r="AB32" i="1"/>
  <c r="AA32" i="1"/>
  <c r="Z32" i="1"/>
  <c r="Y32" i="1"/>
  <c r="X32" i="1"/>
  <c r="W32" i="1"/>
  <c r="J32" i="1"/>
  <c r="I32" i="1"/>
  <c r="H32" i="1"/>
  <c r="G32" i="1"/>
  <c r="F32" i="1"/>
  <c r="E32" i="1"/>
  <c r="D32" i="1"/>
  <c r="C32" i="1"/>
</calcChain>
</file>

<file path=xl/sharedStrings.xml><?xml version="1.0" encoding="utf-8"?>
<sst xmlns="http://schemas.openxmlformats.org/spreadsheetml/2006/main" count="279" uniqueCount="126">
  <si>
    <t>Filename</t>
  </si>
  <si>
    <t>TotalLocs</t>
  </si>
  <si>
    <t>NoiseLocs</t>
  </si>
  <si>
    <t>MeanLocsPerCluster</t>
  </si>
  <si>
    <t>MedianLocsPerCluster</t>
  </si>
  <si>
    <t>ModeLocsPerCluster</t>
  </si>
  <si>
    <t>MeanDiameter_nm</t>
  </si>
  <si>
    <t>MedianDiameter_nm</t>
  </si>
  <si>
    <t>ModeDiameter_nm</t>
  </si>
  <si>
    <t>MeanArea_um2</t>
  </si>
  <si>
    <t>MedianArea_um2</t>
  </si>
  <si>
    <t>ModeArea_um2</t>
  </si>
  <si>
    <t>MeanDensity_locs_per_um2</t>
  </si>
  <si>
    <t>MedianDensity_locs_per_um2</t>
  </si>
  <si>
    <t>ModeDensity_locs_per_um2</t>
  </si>
  <si>
    <t>ROI_Area_um2</t>
  </si>
  <si>
    <t>NumClusters</t>
  </si>
  <si>
    <t>ClusterDensity_per_um2</t>
  </si>
  <si>
    <t>2506011_12G10_1a300dsMouse_1nM_647nm_Record001_list_cor_FA_allChs.bin</t>
  </si>
  <si>
    <t>2506011_12G10_1a300dsMouse_1nM_647nm_Record002_list_cor_FA_allChs.bin</t>
  </si>
  <si>
    <t>250606_12G10_1a300dsMouse_2nM_647nm_Record001_list_COR_FA_allChs.bin</t>
  </si>
  <si>
    <t>250606_12G10_1a300dsMouse_2nM_647nm_Record002_list_cor_FA_allChs.bin</t>
  </si>
  <si>
    <t>250606_12G10_1a300dsMouse_2nM_647nm_Record_list_cor_FA_allChs.bin</t>
  </si>
  <si>
    <t>250519_12G10_1a150dsMouse_6nM_647nm_Record_001_list_cor__noFA_allChs.bin</t>
  </si>
  <si>
    <t>250519_12G10_1a150dsMouse_6nM_647nm_Record__list_cor_noFA_allChs.bin</t>
  </si>
  <si>
    <t>2506011_12G10_1a300dsMouse_1nM_647nm_Record001_list_cor_noFA_allChs.bin</t>
  </si>
  <si>
    <t>2506011_12G10_1a300dsMouse_1nM_647nm_Record002_list_cor_noFA1_allChs.bin</t>
  </si>
  <si>
    <t>2506011_12G10_1a300dsMouse_1nM_647nm_Record002_list_cor_noFA_allChs.bin</t>
  </si>
  <si>
    <t>250606_12G10_1a300dsMouse_2nM_647nm_Record001_list_COR_noFA_allChs.bin</t>
  </si>
  <si>
    <t>B1 activo   noFA</t>
  </si>
  <si>
    <t>2506011_avb3_1a300dsMouse_1nM_647nm_Record000_list_cor_FA1_allChs.bin</t>
  </si>
  <si>
    <t>2506011_avb3_1a300dsMouse_1nM_647nm_Record000_list_cor_FA_allChs.bin</t>
  </si>
  <si>
    <t>2506011_avb3_1a300dsMouse_1nM_647nm_Record001_list_cor_FA_allChs.bin</t>
  </si>
  <si>
    <t>2506011_avb3_1a300dsMouse_1nM_647nm_Record__list_cor_FA1_allChs.bin</t>
  </si>
  <si>
    <t>2506011_avb3_1a300dsMouse_1nM_647nm_Record__list_cor_FA_allChs.bin</t>
  </si>
  <si>
    <t>250609_avb3_1a300dsMouse_1.5nM_647nm_Record002_list_cor_FA_allChs.bin</t>
  </si>
  <si>
    <t>250609_avb3_1a300dsMouse_1.5nM_647nm_Record003_list_cor_FA_allChs.bin</t>
  </si>
  <si>
    <t>250609_avb3_1a300dsMouse_1.5nM_647nm_Record004_list_cor_FA_allChs.bin</t>
  </si>
  <si>
    <t>avb3 FA</t>
  </si>
  <si>
    <t>avb3   noFA</t>
  </si>
  <si>
    <t>2506011_avb3_1a300dsMouse_1nM_647nm_Record000_list_cor_noFA_allChs.bin</t>
  </si>
  <si>
    <t>2506011_avb3_1a300dsMouse_1nM_647nm_Record001_list_cor_noFA_allChs.bin</t>
  </si>
  <si>
    <t>2506011_avb3_1a300dsMouse_1nM_647nm_Record__list_cor_noFA_allChs.bin</t>
  </si>
  <si>
    <t>250609_avb3_1a300dsMouse_1.5nM_647nm_Record001_list_cor_noFA1_allChs.bin</t>
  </si>
  <si>
    <t>250609_avb3_1a300dsMouse_1.5nM_647nm_Record001_list_cor_noFA_allChs.bin</t>
  </si>
  <si>
    <t>250609_avb3_1a300dsMouse_1.5nM_647nm_Record002_list_cor_noFA_allChs.bin</t>
  </si>
  <si>
    <t>250609_avb3_1a300dsMouse_1.5nM_647nm_Record003_list_cor_noFA_allChs.bin</t>
  </si>
  <si>
    <t>250609_avb3_1a300dsMouse_1.5nM_647nm_Record004_list_cor_noFA_allChs.bin</t>
  </si>
  <si>
    <t>Pax   FA</t>
  </si>
  <si>
    <t>PAX   noFA</t>
  </si>
  <si>
    <t>2506011_Pax_1a300dsMouse_1nM_647nm_Record001_list_cor_FA_allChs.bin</t>
  </si>
  <si>
    <t>2506011_Pax_1a300dsMouse_1nM_647nm_Record002_list_cor_FA_allChs.bin</t>
  </si>
  <si>
    <t>2506011_Pax_1a300dsMouse_1nM_647nm_Record_list_cor_FA_allChs.bin</t>
  </si>
  <si>
    <t>250609_PAX_1a300dsMouse_1.5nM_647nm_Record000_001_list_cor_FA1_allChs.bin</t>
  </si>
  <si>
    <t>250609_PAX_1a300dsMouse_1.5nM_647nm_Record000_001_list_cor_FA2_allChs.bin</t>
  </si>
  <si>
    <t>250609_PAX_1a300dsMouse_1.5nM_647nm_Record000_004_list_cor_FA_allChs.bin</t>
  </si>
  <si>
    <t>250609_PAX_1a300dsMouse_1.5nM_647nm_Record000__list_cor_FA1_allChs.bin</t>
  </si>
  <si>
    <t>250609_PAX_1a300dsMouse_1.5nM_647nm_Record000__list_cor_FA_allChs.bin</t>
  </si>
  <si>
    <t>2506011_Pax_1a300dsMouse_1nM_647nm_Record001_list_cor_noFA_allChs.bin</t>
  </si>
  <si>
    <t>2506011_Pax_1a300dsMouse_1nM_647nm_Record002_list_cor_noFA_allChs.bin</t>
  </si>
  <si>
    <t>2506011_Pax_1a300dsMouse_1nM_647nm_Record_list_cor_noFA_allChs.bin</t>
  </si>
  <si>
    <t>250609_PAX_1a300dsMouse_1.5nM_647nm_Record000__list_cor_noFA1_allChs.bin</t>
  </si>
  <si>
    <t>250609_PAX_1a300dsMouse_1.5nM_647nm_Record000__list_cor_noFA_allChs.bin</t>
  </si>
  <si>
    <t>Tal 1  FA</t>
  </si>
  <si>
    <t>Tal1   noFA</t>
  </si>
  <si>
    <t>250519_Talin1N_1a150dsMouse_6nM_647nm_Record_list_cor__FA_allChs.bin</t>
  </si>
  <si>
    <t>2506011_Tal1_1a300dsMouse_1nM_647nm_Record001_list_cor_FA_allChs.bin</t>
  </si>
  <si>
    <t>2506011_Tal1_1a300dsMouse_1nM_647nm_Record002_list_cor_FA_allChs.bin</t>
  </si>
  <si>
    <t>2506011_Tal1_1a300dsMouse_1nM_647nm_Record003_list_cor_FA_allChs.bin</t>
  </si>
  <si>
    <t>250609_Talin1_1a300dsMouse_1.5nM_647nm_Record001_list_cor_FA_allChs.bin</t>
  </si>
  <si>
    <t>250609_Talin1_1a300dsMouse_1.5nM_647nm_Record002_list_cor_FA_allChs.bin</t>
  </si>
  <si>
    <t>250609_Talin1_1a300dsMouse_1.5nM_647nm_Record003_list_cor_FA_allChs.bin</t>
  </si>
  <si>
    <t>250609_Talin1_1a300dsMouse_1.5nM_647nm_Record004_list_cor_FA_allChs.bin</t>
  </si>
  <si>
    <t>250609_Talin1_1a300dsMouse_1.5nM_647nm_Record_list_cor_FA_allChs.bin</t>
  </si>
  <si>
    <t>250519_Talin1N_1a150dsMouse_6nM_647nm_Record_list_cor__noFA_allChs.bin</t>
  </si>
  <si>
    <t>2506011_Tal1_1a300dsMouse_1nM_647nm_Record001_list_cor_noFA_allChs.bin</t>
  </si>
  <si>
    <t>2506011_Tal1_1a300dsMouse_1nM_647nm_Record002_list_cor_noFA_allChs.bin</t>
  </si>
  <si>
    <t>2506011_Tal1_1a300dsMouse_1nM_647nm_Record003_list_cor_noFA_allChs.bin</t>
  </si>
  <si>
    <t>250609_Talin1_1a300dsMouse_1.5nM_647nm_Record001_list_cor_noFA_allChs.bin</t>
  </si>
  <si>
    <t>250609_Talin1_1a300dsMouse_1.5nM_647nm_Record002_list_cor_noFA_allChs.bin</t>
  </si>
  <si>
    <t>250609_Talin1_1a300dsMouse_1.5nM_647nm_Record003_list_cor_noFA_allChs.bin</t>
  </si>
  <si>
    <t>250609_Talin1_1a300dsMouse_1.5nM_647nm_Record004_list_cor_noFA_allChs.bin</t>
  </si>
  <si>
    <t>250609_Talin1_1a300dsMouse_1.5nM_647nm_Record_list_cor_noFA_allChs.bin</t>
  </si>
  <si>
    <t>250609_PAX_1a300dsMouse_1.5nM_647nm_Record000_001_list_cor_FA_allChs.bin</t>
  </si>
  <si>
    <t>250609_PAX_1a300dsMouse_1.5nM_647nm_Record000_004_list_cor_FA1_allChs.bin</t>
  </si>
  <si>
    <t>2506011_12G10_1a300dsMouse_1nM_647nm_Record002_list_cor_FA1_allChs.bin</t>
  </si>
  <si>
    <t>250519_12G10_1a150dsMouse_6nM_647nm_Record_001_list_COR_FA_allChs.bin</t>
  </si>
  <si>
    <t>250519_12G10_1a150dsMouse_6nM_647nm_Record_002__list_CORR_FA1_allChs.bin</t>
  </si>
  <si>
    <t>250519_12G10_1a150dsMouse_6nM_647nm_Record_002__list_CORR_FA2_allChs.bin</t>
  </si>
  <si>
    <t>250520_12G10_1a150dsMouse_2nM_647nm_Record004_list_CORR_FA2_allChs.bin</t>
  </si>
  <si>
    <t>250519_12G10_1a150dsMouse_6nM_647nm_Record_001_list_COR_noFA_allChs.bin</t>
  </si>
  <si>
    <t>250519_12G10_1a150dsMouse_6nM_647nm_Record_002__list_CORR_noFA_allChs.bin</t>
  </si>
  <si>
    <t>250520_12G10_1a150dsMouse_2nM_647nm_Record004_list_CORR_noFA1_allChs.bin</t>
  </si>
  <si>
    <t>250520_12G10_1a150dsMouse_2nM_647nm_Record004_list_CORR_noFA_allChs.bin</t>
  </si>
  <si>
    <t>pixel_size_nm = 160</t>
  </si>
  <si>
    <t>epsilon .1  minpts 10</t>
  </si>
  <si>
    <t>250609_PAX_1a300dsMouse_1.5nM_647nm_Record000_001_list_cor_noFA1_allChs.bin</t>
  </si>
  <si>
    <t>250609_PAX_1a300dsMouse_1.5nM_647nm_Record000_002_list_cor_noFa1_allChs.bin</t>
  </si>
  <si>
    <t>250609_PAX_1a300dsMouse_1.5nM_647nm_Record000_003_list_cor_noFA_allChs.bin</t>
  </si>
  <si>
    <t>250609_PAX_1a300dsMouse_1.5nM_647nm_Record000_004_list_cor_noFA1_allChs.bin</t>
  </si>
  <si>
    <t>250609_PAX_1a300dsMouse_1.5nM_647nm_Record000_001_list_cor_noFA3_allChs.bin</t>
  </si>
  <si>
    <t xml:space="preserve">Data from codigo V7_ </t>
  </si>
  <si>
    <t>no collapses</t>
  </si>
  <si>
    <t>2025-HFF1-FN24H-VC5647-_list_cor_FA1_allChs.bin</t>
  </si>
  <si>
    <t>2025-HFF1-FN24H-VC5647-_list_cor_FA_allChs.bin</t>
  </si>
  <si>
    <t>2025-HFF1-FN24H-VC5648_list_cor_FA1_allChs.bin</t>
  </si>
  <si>
    <t>2025-HFF1-FN24H-VC5648_list_cor_FA_allChs.bin</t>
  </si>
  <si>
    <t>2025-HFF1-FN24H-vc5647-1_list_cor_FA1_allChs.bin</t>
  </si>
  <si>
    <t>2025-HFF1-FN24H-vc5647-1_list_cor_FA_allChs.bin</t>
  </si>
  <si>
    <t>20251208-HFF1-FN24H-sample3-vc5647--0003_list_cor_FA1_allChs.bin</t>
  </si>
  <si>
    <t>20251208-HFF1-FN24H-sample3-vc5647--0003_list_cor_FA_allChs.bin</t>
  </si>
  <si>
    <t>20251208-HFF1-FN24H-sample3-vc5647--0004_list_cor_FA1_allChs.bin</t>
  </si>
  <si>
    <t>20251208-HFF1-FN24H-sample3-vc5647--0004_list_cor_FA_allChs.bin</t>
  </si>
  <si>
    <t>VC5</t>
  </si>
  <si>
    <t>B1 activo   FA   12G10</t>
  </si>
  <si>
    <t>VC5 noFA</t>
  </si>
  <si>
    <t>2025-HFF1-FN24H-VC5647-_list_cor_noFA1_allChs.bin</t>
  </si>
  <si>
    <t>2025-HFF1-FN24H-VC5647-_list_cor_noFA_allChs.bin</t>
  </si>
  <si>
    <t>2025-HFF1-FN24H-VC5648_list_cor_noFA1_allChs.bin</t>
  </si>
  <si>
    <t>2025-HFF1-FN24H-VC5648_list_cor_noFA_allChs.bin</t>
  </si>
  <si>
    <t>2025-HFF1-FN24H-vc5647-1_list_cor_noFA1_allChs.bin</t>
  </si>
  <si>
    <t>2025-HFF1-FN24H-vc5647-1_list_cor_noFA_allChs.bin</t>
  </si>
  <si>
    <t>20251208-HFF1-FN24H-sample3-vc5647--0003_list_cor_noFA1_allChs.bin</t>
  </si>
  <si>
    <t>20251208-HFF1-FN24H-sample3-vc5647--0003_list_cor_noFA_allChs.bin</t>
  </si>
  <si>
    <t>20251208-HFF1-FN24H-sample3-vc5647--0004_list_cor_noFA1_allChs.bin</t>
  </si>
  <si>
    <t>20251208-HFF1-FN24H-sample3-vc5647--0004_list_cor_noFA_allChs.bin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</si>
</sst>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onsolas"/>
      <family val="3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2" xfId="0" applyFill="1" applyBorder="1"/>
    <xf numFmtId="0" fontId="0" fillId="2" borderId="0" xfId="0" applyFill="1" applyBorder="1"/>
    <xf numFmtId="0" fontId="0" fillId="2" borderId="7" xfId="0" applyFill="1" applyBorder="1"/>
    <xf numFmtId="0" fontId="4" fillId="2" borderId="0" xfId="0" applyFont="1" applyFill="1"/>
    <xf numFmtId="0" fontId="6" fillId="0" borderId="0" xfId="0" applyFont="1" applyAlignment="1">
      <alignment horizontal="left" vertical="center" indent="3"/>
    </xf>
    <xf numFmtId="0" fontId="5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0" fillId="0" borderId="4" xfId="0" applyFill="1" applyBorder="1"/>
    <xf numFmtId="0" fontId="0" fillId="0" borderId="9" xfId="0" applyFill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_xlchart.v1.10</cx:f>
      </cx:numDim>
    </cx:data>
    <cx:data id="2">
      <cx:numDim type="val">
        <cx:f>_xlchart.v1.1</cx:f>
      </cx:numDim>
    </cx:data>
    <cx:data id="3">
      <cx:numDim type="val">
        <cx:f>_xlchart.v1.6</cx:f>
      </cx:numDim>
    </cx:data>
    <cx:data id="4">
      <cx:numDim type="val">
        <cx:f>_xlchart.v1.2</cx:f>
      </cx:numDim>
    </cx:data>
    <cx:data id="5">
      <cx:numDim type="val">
        <cx:f>_xlchart.v1.7</cx:f>
      </cx:numDim>
    </cx:data>
    <cx:data id="6">
      <cx:numDim type="val">
        <cx:f>_xlchart.v1.3</cx:f>
      </cx:numDim>
    </cx:data>
    <cx:data id="7">
      <cx:numDim type="val">
        <cx:f>_xlchart.v1.8</cx:f>
      </cx:numDim>
    </cx:data>
    <cx:data id="8">
      <cx:numDim type="val">
        <cx:f>_xlchart.v1.4</cx:f>
      </cx:numDim>
    </cx:data>
    <cx:data id="9">
      <cx:numDim type="val">
        <cx:f>_xlchart.v1.9</cx:f>
      </cx:numDim>
    </cx:data>
  </cx:chartData>
  <cx:chart>
    <cx:title pos="t" align="ctr" overlay="0">
      <cx:tx>
        <cx:txData>
          <cx:v>Median LOCS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Median LOCS</a:t>
          </a:r>
        </a:p>
      </cx:txPr>
    </cx:title>
    <cx:plotArea>
      <cx:plotAreaRegion>
        <cx:series layoutId="boxWhisker" uniqueId="{E175DCA9-DB79-4385-B535-86C4FE57EFD8}" formatIdx="0">
          <cx:tx>
            <cx:txData>
              <cx:f/>
              <cx:v>b1FA</cx:v>
            </cx:txData>
          </cx:tx>
          <cx:dataId val="0"/>
          <cx:layoutPr>
            <cx:visibility meanLine="1" meanMarker="1" nonoutliers="1" outliers="1"/>
            <cx:statistics quartileMethod="inclusive"/>
          </cx:layoutPr>
        </cx:series>
        <cx:series layoutId="boxWhisker" uniqueId="{00000001-857B-401A-AEBD-6CC37479347A}" formatIdx="1">
          <cx:tx>
            <cx:txData>
              <cx:f/>
              <cx:v>b1noFA</cx:v>
            </cx:txData>
          </cx:tx>
          <cx:dataId val="1"/>
          <cx:layoutPr>
            <cx:visibility meanLine="1"/>
            <cx:statistics quartileMethod="inclusive"/>
          </cx:layoutPr>
        </cx:series>
        <cx:series layoutId="boxWhisker" uniqueId="{00000002-857B-401A-AEBD-6CC37479347A}" formatIdx="2">
          <cx:tx>
            <cx:txData>
              <cx:f/>
              <cx:v>b3FA</cx:v>
            </cx:txData>
          </cx:tx>
          <cx:dataId val="2"/>
          <cx:layoutPr>
            <cx:visibility meanLine="1"/>
            <cx:statistics quartileMethod="inclusive"/>
          </cx:layoutPr>
        </cx:series>
        <cx:series layoutId="boxWhisker" uniqueId="{00000003-857B-401A-AEBD-6CC37479347A}" formatIdx="3">
          <cx:tx>
            <cx:txData>
              <cx:f/>
              <cx:v>b3noFA</cx:v>
            </cx:txData>
          </cx:tx>
          <cx:dataId val="3"/>
          <cx:layoutPr>
            <cx:visibility meanLine="1"/>
            <cx:statistics quartileMethod="inclusive"/>
          </cx:layoutPr>
        </cx:series>
        <cx:series layoutId="boxWhisker" uniqueId="{00000004-857B-401A-AEBD-6CC37479347A}" formatIdx="4">
          <cx:tx>
            <cx:txData>
              <cx:f/>
              <cx:v>PaxFA</cx:v>
            </cx:txData>
          </cx:tx>
          <cx:dataId val="4"/>
          <cx:layoutPr>
            <cx:visibility meanLine="1"/>
            <cx:statistics quartileMethod="inclusive"/>
          </cx:layoutPr>
        </cx:series>
        <cx:series layoutId="boxWhisker" uniqueId="{00000005-857B-401A-AEBD-6CC37479347A}" formatIdx="5">
          <cx:tx>
            <cx:txData>
              <cx:f/>
              <cx:v>PaxnoFA</cx:v>
            </cx:txData>
          </cx:tx>
          <cx:dataId val="5"/>
          <cx:layoutPr>
            <cx:visibility meanLine="1" meanMarker="1" nonoutliers="1" outliers="1"/>
            <cx:statistics quartileMethod="inclusive"/>
          </cx:layoutPr>
        </cx:series>
        <cx:series layoutId="boxWhisker" uniqueId="{00000006-857B-401A-AEBD-6CC37479347A}" formatIdx="6">
          <cx:tx>
            <cx:txData>
              <cx:f/>
              <cx:v>Tal1FA</cx:v>
            </cx:txData>
          </cx:tx>
          <cx:dataId val="6"/>
          <cx:layoutPr>
            <cx:visibility meanLine="1"/>
            <cx:statistics quartileMethod="inclusive"/>
          </cx:layoutPr>
        </cx:series>
        <cx:series layoutId="boxWhisker" uniqueId="{00000007-857B-401A-AEBD-6CC37479347A}" formatIdx="7">
          <cx:tx>
            <cx:txData>
              <cx:f/>
              <cx:v>talnoFA</cx:v>
            </cx:txData>
          </cx:tx>
          <cx:dataId val="7"/>
          <cx:layoutPr>
            <cx:visibility meanLine="1"/>
            <cx:statistics quartileMethod="inclusive"/>
          </cx:layoutPr>
        </cx:series>
        <cx:series layoutId="boxWhisker" uniqueId="{00000002-95E7-48DF-9D3A-0E0C656273F5}" formatIdx="8">
          <cx:tx>
            <cx:txData>
              <cx:v>itga5</cx:v>
            </cx:txData>
          </cx:tx>
          <cx:dataId val="8"/>
          <cx:layoutPr>
            <cx:statistics quartileMethod="exclusive"/>
          </cx:layoutPr>
        </cx:series>
        <cx:series layoutId="boxWhisker" uniqueId="{00000003-95E7-48DF-9D3A-0E0C656273F5}" formatIdx="10">
          <cx:tx>
            <cx:txData>
              <cx:v>itgnoFA</cx:v>
            </cx:txData>
          </cx:tx>
          <cx:dataId val="9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50"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_xlchart.v1.14</cx:f>
      </cx:numDim>
    </cx:data>
    <cx:data id="2">
      <cx:numDim type="val">
        <cx:f>_xlchart.v1.15</cx:f>
      </cx:numDim>
    </cx:data>
    <cx:data id="3">
      <cx:numDim type="val">
        <cx:f>_xlchart.v1.11</cx:f>
      </cx:numDim>
    </cx:data>
    <cx:data id="4">
      <cx:numDim type="val">
        <cx:f>_xlchart.v1.16</cx:f>
      </cx:numDim>
    </cx:data>
    <cx:data id="5">
      <cx:numDim type="val">
        <cx:f>_xlchart.v1.12</cx:f>
      </cx:numDim>
    </cx:data>
    <cx:data id="6">
      <cx:numDim type="val">
        <cx:f>_xlchart.v1.17</cx:f>
      </cx:numDim>
    </cx:data>
    <cx:data id="7">
      <cx:numDim type="val">
        <cx:f>_xlchart.v1.13</cx:f>
      </cx:numDim>
    </cx:data>
  </cx:chartData>
  <cx:chart>
    <cx:title pos="t" align="ctr" overlay="0">
      <cx:tx>
        <cx:txData>
          <cx:v>Median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Median Diameter</a:t>
          </a:r>
        </a:p>
      </cx:txPr>
    </cx:title>
    <cx:plotArea>
      <cx:plotAreaRegion>
        <cx:series layoutId="boxWhisker" uniqueId="{E175DCA9-DB79-4385-B535-86C4FE57EFD8}">
          <cx:tx>
            <cx:txData>
              <cx:f/>
              <cx:v>b1FA</cx:v>
            </cx:txData>
          </cx:tx>
          <cx:dataId val="0"/>
          <cx:layoutPr>
            <cx:visibility meanLine="1" meanMarker="1" nonoutliers="1" outliers="1"/>
            <cx:statistics quartileMethod="inclusive"/>
          </cx:layoutPr>
        </cx:series>
        <cx:series layoutId="boxWhisker" uniqueId="{00000001-857B-401A-AEBD-6CC37479347A}">
          <cx:tx>
            <cx:txData>
              <cx:f/>
              <cx:v>b1noFA</cx:v>
            </cx:txData>
          </cx:tx>
          <cx:dataId val="1"/>
          <cx:layoutPr>
            <cx:visibility meanLine="1"/>
            <cx:statistics quartileMethod="inclusive"/>
          </cx:layoutPr>
        </cx:series>
        <cx:series layoutId="boxWhisker" uniqueId="{00000002-857B-401A-AEBD-6CC37479347A}">
          <cx:tx>
            <cx:txData>
              <cx:f/>
              <cx:v>b3FA</cx:v>
            </cx:txData>
          </cx:tx>
          <cx:dataId val="2"/>
          <cx:layoutPr>
            <cx:visibility meanLine="1"/>
            <cx:statistics quartileMethod="inclusive"/>
          </cx:layoutPr>
        </cx:series>
        <cx:series layoutId="boxWhisker" uniqueId="{00000003-857B-401A-AEBD-6CC37479347A}">
          <cx:tx>
            <cx:txData>
              <cx:f/>
              <cx:v>b3noFA</cx:v>
            </cx:txData>
          </cx:tx>
          <cx:dataId val="3"/>
          <cx:layoutPr>
            <cx:visibility meanLine="1"/>
            <cx:statistics quartileMethod="inclusive"/>
          </cx:layoutPr>
        </cx:series>
        <cx:series layoutId="boxWhisker" uniqueId="{00000004-857B-401A-AEBD-6CC37479347A}">
          <cx:tx>
            <cx:txData>
              <cx:f/>
              <cx:v>PaxFA</cx:v>
            </cx:txData>
          </cx:tx>
          <cx:dataId val="4"/>
          <cx:layoutPr>
            <cx:visibility meanLine="1"/>
            <cx:statistics quartileMethod="inclusive"/>
          </cx:layoutPr>
        </cx:series>
        <cx:series layoutId="boxWhisker" uniqueId="{00000005-857B-401A-AEBD-6CC37479347A}">
          <cx:tx>
            <cx:txData>
              <cx:f/>
              <cx:v>paxnoFA</cx:v>
            </cx:txData>
          </cx:tx>
          <cx:dataId val="5"/>
          <cx:layoutPr>
            <cx:visibility meanLine="1"/>
            <cx:statistics quartileMethod="inclusive"/>
          </cx:layoutPr>
        </cx:series>
        <cx:series layoutId="boxWhisker" uniqueId="{00000006-857B-401A-AEBD-6CC37479347A}">
          <cx:tx>
            <cx:txData>
              <cx:f/>
              <cx:v>Tal1FA</cx:v>
            </cx:txData>
          </cx:tx>
          <cx:dataId val="6"/>
          <cx:layoutPr>
            <cx:visibility meanLine="1" meanMarker="1" nonoutliers="1" outliers="1"/>
            <cx:statistics quartileMethod="inclusive"/>
          </cx:layoutPr>
        </cx:series>
        <cx:series layoutId="boxWhisker" uniqueId="{00000007-857B-401A-AEBD-6CC37479347A}">
          <cx:tx>
            <cx:txData>
              <cx:f/>
              <cx:v>talnoFA</cx:v>
            </cx:txData>
          </cx:tx>
          <cx:dataId val="7"/>
          <cx:layoutPr>
            <cx:visibility meanLine="1" meanMarker="1" nonoutliers="1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 max="80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2387600</xdr:colOff>
      <xdr:row>82</xdr:row>
      <xdr:rowOff>9525</xdr:rowOff>
    </xdr:from>
    <xdr:to>
      <xdr:col>16</xdr:col>
      <xdr:colOff>-1</xdr:colOff>
      <xdr:row>111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8FC120-1069-46DD-B3D1-7E9CF4842D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7200" y="16563975"/>
              <a:ext cx="10175874" cy="5527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253999</xdr:colOff>
      <xdr:row>80</xdr:row>
      <xdr:rowOff>111123</xdr:rowOff>
    </xdr:from>
    <xdr:to>
      <xdr:col>27</xdr:col>
      <xdr:colOff>180975</xdr:colOff>
      <xdr:row>112</xdr:row>
      <xdr:rowOff>71436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81AC0AB-DEEB-4180-8648-A057541679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17624" y="16303623"/>
              <a:ext cx="8701882" cy="6056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C1EE-724E-4317-98AC-6A1691CE51DA}">
  <dimension ref="A1:AM73"/>
  <sheetViews>
    <sheetView tabSelected="1" zoomScale="80" zoomScaleNormal="80" workbookViewId="0">
      <selection activeCell="F67" sqref="F67"/>
    </sheetView>
  </sheetViews>
  <sheetFormatPr defaultRowHeight="15" x14ac:dyDescent="0.25"/>
  <cols>
    <col min="2" max="2" width="46.7109375" customWidth="1"/>
    <col min="6" max="6" width="14.28515625" style="1" customWidth="1"/>
    <col min="7" max="7" width="10.28515625" customWidth="1"/>
    <col min="9" max="9" width="13" style="1" customWidth="1"/>
    <col min="15" max="15" width="12.7109375" customWidth="1"/>
    <col min="19" max="19" width="21.28515625" customWidth="1"/>
    <col min="22" max="22" width="35.5703125" customWidth="1"/>
    <col min="26" max="26" width="9.140625" style="1"/>
    <col min="27" max="27" width="11" customWidth="1"/>
    <col min="29" max="29" width="9.140625" style="1"/>
    <col min="39" max="39" width="19.5703125" customWidth="1"/>
  </cols>
  <sheetData>
    <row r="1" spans="1:39" ht="31.5" x14ac:dyDescent="0.5">
      <c r="B1" s="22" t="s">
        <v>101</v>
      </c>
      <c r="C1" s="20" t="s">
        <v>94</v>
      </c>
      <c r="D1" s="21"/>
      <c r="E1" s="21"/>
      <c r="F1" s="15" t="s">
        <v>95</v>
      </c>
      <c r="G1" s="21"/>
    </row>
    <row r="2" spans="1:39" ht="31.5" x14ac:dyDescent="0.5">
      <c r="B2" s="23" t="s">
        <v>102</v>
      </c>
    </row>
    <row r="3" spans="1:39" ht="23.25" x14ac:dyDescent="0.35">
      <c r="B3" s="13" t="s">
        <v>114</v>
      </c>
      <c r="V3" s="3" t="s">
        <v>29</v>
      </c>
    </row>
    <row r="4" spans="1:39" ht="15.75" thickBot="1" x14ac:dyDescent="0.3"/>
    <row r="5" spans="1:39" x14ac:dyDescent="0.25">
      <c r="A5" s="4"/>
      <c r="B5" s="5" t="s">
        <v>0</v>
      </c>
      <c r="C5" s="5" t="s">
        <v>1</v>
      </c>
      <c r="D5" s="5" t="s">
        <v>2</v>
      </c>
      <c r="E5" s="5" t="s">
        <v>3</v>
      </c>
      <c r="F5" s="16" t="s">
        <v>4</v>
      </c>
      <c r="G5" s="5" t="s">
        <v>5</v>
      </c>
      <c r="H5" s="5" t="s">
        <v>6</v>
      </c>
      <c r="I5" s="16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6" t="s">
        <v>17</v>
      </c>
      <c r="T5" s="5"/>
      <c r="U5" s="5"/>
      <c r="V5" s="4" t="s">
        <v>0</v>
      </c>
      <c r="W5" s="5" t="s">
        <v>1</v>
      </c>
      <c r="X5" s="5" t="s">
        <v>2</v>
      </c>
      <c r="Y5" s="5" t="s">
        <v>3</v>
      </c>
      <c r="Z5" s="16" t="s">
        <v>4</v>
      </c>
      <c r="AA5" s="5" t="s">
        <v>5</v>
      </c>
      <c r="AB5" s="5" t="s">
        <v>6</v>
      </c>
      <c r="AC5" s="16" t="s">
        <v>7</v>
      </c>
      <c r="AD5" s="5" t="s">
        <v>8</v>
      </c>
      <c r="AE5" s="5" t="s">
        <v>9</v>
      </c>
      <c r="AF5" s="5" t="s">
        <v>10</v>
      </c>
      <c r="AG5" s="5" t="s">
        <v>11</v>
      </c>
      <c r="AH5" s="5" t="s">
        <v>12</v>
      </c>
      <c r="AI5" s="5" t="s">
        <v>13</v>
      </c>
      <c r="AJ5" s="5" t="s">
        <v>14</v>
      </c>
      <c r="AK5" s="5" t="s">
        <v>15</v>
      </c>
      <c r="AL5" s="5" t="s">
        <v>16</v>
      </c>
      <c r="AM5" s="6" t="s">
        <v>17</v>
      </c>
    </row>
    <row r="6" spans="1:39" x14ac:dyDescent="0.25">
      <c r="A6" s="7">
        <v>1</v>
      </c>
      <c r="B6" s="8" t="s">
        <v>86</v>
      </c>
      <c r="C6" s="8">
        <v>132705</v>
      </c>
      <c r="D6" s="8">
        <v>29629</v>
      </c>
      <c r="E6" s="8">
        <v>60.775943396226403</v>
      </c>
      <c r="F6" s="17">
        <v>44</v>
      </c>
      <c r="G6" s="8">
        <v>10</v>
      </c>
      <c r="H6" s="8">
        <v>46.490104273092101</v>
      </c>
      <c r="I6" s="17">
        <v>43.511081357325303</v>
      </c>
      <c r="J6" s="8">
        <v>45</v>
      </c>
      <c r="K6" s="8">
        <v>2.1194563411986401E-3</v>
      </c>
      <c r="L6" s="8">
        <v>1.48692696206272E-3</v>
      </c>
      <c r="M6" s="8">
        <v>5.0000000000000001E-3</v>
      </c>
      <c r="N6" s="8">
        <v>31331.892135405698</v>
      </c>
      <c r="O6" s="8">
        <v>29821.413823435101</v>
      </c>
      <c r="P6" s="8">
        <v>25925</v>
      </c>
      <c r="Q6" s="8">
        <v>118.820977777778</v>
      </c>
      <c r="R6" s="8">
        <v>1696</v>
      </c>
      <c r="S6" s="9">
        <v>14.273573839561401</v>
      </c>
      <c r="T6" s="8"/>
      <c r="U6" s="8"/>
      <c r="V6" s="7" t="s">
        <v>90</v>
      </c>
      <c r="W6" s="8">
        <v>44678</v>
      </c>
      <c r="X6" s="8">
        <v>11989</v>
      </c>
      <c r="Y6" s="8">
        <v>137.34873949579799</v>
      </c>
      <c r="Z6" s="17">
        <v>44</v>
      </c>
      <c r="AA6" s="8">
        <v>10</v>
      </c>
      <c r="AB6" s="8">
        <v>61.427595593119797</v>
      </c>
      <c r="AC6" s="17">
        <v>45.645721172375097</v>
      </c>
      <c r="AD6" s="8">
        <v>35</v>
      </c>
      <c r="AE6" s="8">
        <v>5.1331210943330197E-3</v>
      </c>
      <c r="AF6" s="8">
        <v>1.6364055387675801E-3</v>
      </c>
      <c r="AG6" s="8">
        <v>5.0000000000000001E-3</v>
      </c>
      <c r="AH6" s="8">
        <v>33520.891972891499</v>
      </c>
      <c r="AI6" s="8">
        <v>29036.493967485101</v>
      </c>
      <c r="AJ6" s="8">
        <v>22575</v>
      </c>
      <c r="AK6" s="8">
        <v>165.91928888888901</v>
      </c>
      <c r="AL6" s="8">
        <v>238</v>
      </c>
      <c r="AM6" s="9">
        <v>1.43443237729509</v>
      </c>
    </row>
    <row r="7" spans="1:39" x14ac:dyDescent="0.25">
      <c r="A7" s="7">
        <v>2</v>
      </c>
      <c r="B7" s="8" t="s">
        <v>87</v>
      </c>
      <c r="C7" s="8">
        <v>203256</v>
      </c>
      <c r="D7" s="8">
        <v>86983</v>
      </c>
      <c r="E7" s="8">
        <v>49.795717344753697</v>
      </c>
      <c r="F7" s="17">
        <v>25</v>
      </c>
      <c r="G7" s="8">
        <v>10</v>
      </c>
      <c r="H7" s="8">
        <v>45.003467594052303</v>
      </c>
      <c r="I7" s="17">
        <v>36.881957811596997</v>
      </c>
      <c r="J7" s="8">
        <v>25</v>
      </c>
      <c r="K7" s="8">
        <v>2.3335574716899501E-3</v>
      </c>
      <c r="L7" s="8">
        <v>1.0683604806661601E-3</v>
      </c>
      <c r="M7" s="8">
        <v>5.0000000000000001E-3</v>
      </c>
      <c r="N7" s="8">
        <v>27059.501527348599</v>
      </c>
      <c r="O7" s="8">
        <v>24523.455104274599</v>
      </c>
      <c r="P7" s="8">
        <v>20425</v>
      </c>
      <c r="Q7" s="8">
        <v>69.370311111111107</v>
      </c>
      <c r="R7" s="8">
        <v>2335</v>
      </c>
      <c r="S7" s="9">
        <v>33.659932651303897</v>
      </c>
      <c r="T7" s="8"/>
      <c r="U7" s="8"/>
      <c r="V7" s="7" t="s">
        <v>23</v>
      </c>
      <c r="W7" s="8">
        <v>9602</v>
      </c>
      <c r="X7" s="8">
        <v>6081</v>
      </c>
      <c r="Y7" s="8">
        <v>32.302752293578003</v>
      </c>
      <c r="Z7" s="17">
        <v>20</v>
      </c>
      <c r="AA7" s="8">
        <v>10</v>
      </c>
      <c r="AB7" s="8">
        <v>31.7529100637711</v>
      </c>
      <c r="AC7" s="17">
        <v>26.923964791897902</v>
      </c>
      <c r="AD7" s="8">
        <v>15</v>
      </c>
      <c r="AE7" s="8">
        <v>1.0729355764771799E-3</v>
      </c>
      <c r="AF7" s="8">
        <v>5.6933503448963199E-4</v>
      </c>
      <c r="AG7" s="8">
        <v>5.0000000000000001E-3</v>
      </c>
      <c r="AH7" s="8">
        <v>42609.462126182298</v>
      </c>
      <c r="AI7" s="8">
        <v>37381.068907570902</v>
      </c>
      <c r="AJ7" s="8">
        <v>47675</v>
      </c>
      <c r="AK7" s="8">
        <v>116.639288888889</v>
      </c>
      <c r="AL7" s="8">
        <v>109</v>
      </c>
      <c r="AM7" s="9">
        <v>0.93450501146173703</v>
      </c>
    </row>
    <row r="8" spans="1:39" x14ac:dyDescent="0.25">
      <c r="A8" s="7">
        <v>3</v>
      </c>
      <c r="B8" s="8" t="s">
        <v>88</v>
      </c>
      <c r="C8" s="8">
        <v>116425</v>
      </c>
      <c r="D8" s="8">
        <v>60662</v>
      </c>
      <c r="E8" s="8">
        <v>42.697549770290998</v>
      </c>
      <c r="F8" s="17">
        <v>21</v>
      </c>
      <c r="G8" s="8">
        <v>10</v>
      </c>
      <c r="H8" s="8">
        <v>41.586311593915198</v>
      </c>
      <c r="I8" s="17">
        <v>33.347066169181801</v>
      </c>
      <c r="J8" s="8">
        <v>25</v>
      </c>
      <c r="K8" s="8">
        <v>1.9680612350933802E-3</v>
      </c>
      <c r="L8" s="8">
        <v>8.7338384855538604E-4</v>
      </c>
      <c r="M8" s="8">
        <v>5.0000000000000001E-3</v>
      </c>
      <c r="N8" s="8">
        <v>27775.514415043799</v>
      </c>
      <c r="O8" s="8">
        <v>24861.6716454585</v>
      </c>
      <c r="P8" s="8">
        <v>20825</v>
      </c>
      <c r="Q8" s="8">
        <v>46.819555555555603</v>
      </c>
      <c r="R8" s="8">
        <v>1306</v>
      </c>
      <c r="S8" s="9">
        <v>27.8943271567436</v>
      </c>
      <c r="T8" s="8"/>
      <c r="U8" s="8"/>
      <c r="V8" s="7" t="s">
        <v>91</v>
      </c>
      <c r="W8" s="8">
        <v>2352</v>
      </c>
      <c r="X8" s="8">
        <v>1793</v>
      </c>
      <c r="Y8" s="8">
        <v>39.928571428571402</v>
      </c>
      <c r="Z8" s="17">
        <v>20</v>
      </c>
      <c r="AA8" s="8">
        <v>15</v>
      </c>
      <c r="AB8" s="8">
        <v>38.281867235941299</v>
      </c>
      <c r="AC8" s="17">
        <v>29.473133280850899</v>
      </c>
      <c r="AD8" s="8">
        <v>25</v>
      </c>
      <c r="AE8" s="8">
        <v>1.49937114348369E-3</v>
      </c>
      <c r="AF8" s="8">
        <v>6.8290695063769795E-4</v>
      </c>
      <c r="AG8" s="8">
        <v>5.0000000000000001E-3</v>
      </c>
      <c r="AH8" s="8">
        <v>31488.331349241402</v>
      </c>
      <c r="AI8" s="8">
        <v>29308.613657976599</v>
      </c>
      <c r="AJ8" s="8">
        <v>29675</v>
      </c>
      <c r="AK8" s="8">
        <v>16.290133333333301</v>
      </c>
      <c r="AL8" s="8">
        <v>14</v>
      </c>
      <c r="AM8" s="9">
        <v>0.859415924567837</v>
      </c>
    </row>
    <row r="9" spans="1:39" x14ac:dyDescent="0.25">
      <c r="A9" s="7">
        <v>4</v>
      </c>
      <c r="B9" s="8" t="s">
        <v>19</v>
      </c>
      <c r="C9" s="8">
        <v>49158</v>
      </c>
      <c r="D9" s="8">
        <v>11503</v>
      </c>
      <c r="E9" s="8">
        <v>58.379844961240302</v>
      </c>
      <c r="F9" s="17">
        <v>41</v>
      </c>
      <c r="G9" s="8">
        <v>10</v>
      </c>
      <c r="H9" s="8">
        <v>44.476158668811898</v>
      </c>
      <c r="I9" s="17">
        <v>41.026745230805297</v>
      </c>
      <c r="J9" s="8">
        <v>35</v>
      </c>
      <c r="K9" s="8">
        <v>1.89424535321173E-3</v>
      </c>
      <c r="L9" s="8">
        <v>1.32197733819485E-3</v>
      </c>
      <c r="M9" s="8">
        <v>5.0000000000000001E-3</v>
      </c>
      <c r="N9" s="8">
        <v>34053.912143303103</v>
      </c>
      <c r="O9" s="8">
        <v>32229.008191915302</v>
      </c>
      <c r="P9" s="8">
        <v>32675</v>
      </c>
      <c r="Q9" s="8">
        <v>37.418666666666702</v>
      </c>
      <c r="R9" s="8">
        <v>645</v>
      </c>
      <c r="S9" s="9">
        <v>17.237385974914499</v>
      </c>
      <c r="T9" s="8"/>
      <c r="U9" s="8"/>
      <c r="V9" s="7" t="s">
        <v>24</v>
      </c>
      <c r="W9" s="8">
        <v>39203</v>
      </c>
      <c r="X9" s="8">
        <v>10972</v>
      </c>
      <c r="Y9" s="8">
        <v>68.688564476885603</v>
      </c>
      <c r="Z9" s="17">
        <v>38</v>
      </c>
      <c r="AA9" s="8">
        <v>10</v>
      </c>
      <c r="AB9" s="8">
        <v>38.151947816849699</v>
      </c>
      <c r="AC9" s="17">
        <v>36.5182275832409</v>
      </c>
      <c r="AD9" s="8">
        <v>35</v>
      </c>
      <c r="AE9" s="8">
        <v>1.41677879382949E-3</v>
      </c>
      <c r="AF9" s="8">
        <v>1.04739202558994E-3</v>
      </c>
      <c r="AG9" s="8">
        <v>5.0000000000000001E-3</v>
      </c>
      <c r="AH9" s="8">
        <v>47669.727840551801</v>
      </c>
      <c r="AI9" s="8">
        <v>43424.593887340998</v>
      </c>
      <c r="AJ9" s="8">
        <v>43425</v>
      </c>
      <c r="AK9" s="8">
        <v>69.492622222222195</v>
      </c>
      <c r="AL9" s="8">
        <v>411</v>
      </c>
      <c r="AM9" s="9">
        <v>5.9142968973844701</v>
      </c>
    </row>
    <row r="10" spans="1:39" x14ac:dyDescent="0.25">
      <c r="A10" s="7">
        <v>5</v>
      </c>
      <c r="B10" s="8" t="s">
        <v>20</v>
      </c>
      <c r="C10" s="8">
        <v>95858</v>
      </c>
      <c r="D10" s="8">
        <v>28773</v>
      </c>
      <c r="E10" s="8">
        <v>38.889855072463803</v>
      </c>
      <c r="F10" s="17">
        <v>21</v>
      </c>
      <c r="G10" s="8">
        <v>10</v>
      </c>
      <c r="H10" s="8">
        <v>38.556828140275499</v>
      </c>
      <c r="I10" s="17">
        <v>30.636200014666201</v>
      </c>
      <c r="J10" s="8">
        <v>25</v>
      </c>
      <c r="K10" s="8">
        <v>1.62861740875547E-3</v>
      </c>
      <c r="L10" s="8">
        <v>7.3715645670890798E-4</v>
      </c>
      <c r="M10" s="8">
        <v>5.0000000000000001E-3</v>
      </c>
      <c r="N10" s="8">
        <v>31591.263066380099</v>
      </c>
      <c r="O10" s="8">
        <v>28741.699659608199</v>
      </c>
      <c r="P10" s="8">
        <v>22475</v>
      </c>
      <c r="Q10" s="8">
        <v>103.241955555556</v>
      </c>
      <c r="R10" s="8">
        <v>1725</v>
      </c>
      <c r="S10" s="9">
        <v>16.708323575600598</v>
      </c>
      <c r="T10" s="8"/>
      <c r="U10" s="8"/>
      <c r="V10" s="7" t="s">
        <v>92</v>
      </c>
      <c r="W10" s="8">
        <v>9078</v>
      </c>
      <c r="X10" s="8">
        <v>4015</v>
      </c>
      <c r="Y10" s="8">
        <v>34.209459459459502</v>
      </c>
      <c r="Z10" s="17">
        <v>23</v>
      </c>
      <c r="AA10" s="8">
        <v>13</v>
      </c>
      <c r="AB10" s="8">
        <v>33.759425593088402</v>
      </c>
      <c r="AC10" s="17">
        <v>30.952273471510999</v>
      </c>
      <c r="AD10" s="8">
        <v>35</v>
      </c>
      <c r="AE10" s="8">
        <v>1.1161311811339601E-3</v>
      </c>
      <c r="AF10" s="8">
        <v>7.5245028510689696E-4</v>
      </c>
      <c r="AG10" s="8">
        <v>5.0000000000000001E-3</v>
      </c>
      <c r="AH10" s="8">
        <v>35030.233002447603</v>
      </c>
      <c r="AI10" s="8">
        <v>32402.276770871998</v>
      </c>
      <c r="AJ10" s="8">
        <v>29375</v>
      </c>
      <c r="AK10" s="8">
        <v>51.768888888888902</v>
      </c>
      <c r="AL10" s="8">
        <v>148</v>
      </c>
      <c r="AM10" s="9">
        <v>2.8588598901098901</v>
      </c>
    </row>
    <row r="11" spans="1:39" x14ac:dyDescent="0.25">
      <c r="A11" s="7">
        <v>6</v>
      </c>
      <c r="B11" s="8" t="s">
        <v>21</v>
      </c>
      <c r="C11" s="8">
        <v>39633</v>
      </c>
      <c r="D11" s="8">
        <v>31120</v>
      </c>
      <c r="E11" s="8">
        <v>21.716836734693899</v>
      </c>
      <c r="F11" s="17">
        <v>16</v>
      </c>
      <c r="G11" s="8">
        <v>10</v>
      </c>
      <c r="H11" s="8">
        <v>30.531038870790201</v>
      </c>
      <c r="I11" s="17">
        <v>27.495358192643302</v>
      </c>
      <c r="J11" s="8">
        <v>25</v>
      </c>
      <c r="K11" s="8">
        <v>8.6833573829059503E-4</v>
      </c>
      <c r="L11" s="8">
        <v>5.9377383515238802E-4</v>
      </c>
      <c r="M11" s="8">
        <v>5.0000000000000001E-3</v>
      </c>
      <c r="N11" s="8">
        <v>30378.9738981726</v>
      </c>
      <c r="O11" s="8">
        <v>27555.879642734799</v>
      </c>
      <c r="P11" s="8">
        <v>25725</v>
      </c>
      <c r="Q11" s="8">
        <v>124.040533333333</v>
      </c>
      <c r="R11" s="8">
        <v>392</v>
      </c>
      <c r="S11" s="9">
        <v>3.1602572922399599</v>
      </c>
      <c r="T11" s="8"/>
      <c r="U11" s="8"/>
      <c r="V11" s="7" t="s">
        <v>93</v>
      </c>
      <c r="W11" s="8">
        <v>7459</v>
      </c>
      <c r="X11" s="8">
        <v>3548</v>
      </c>
      <c r="Y11" s="8">
        <v>34.008695652173898</v>
      </c>
      <c r="Z11" s="17">
        <v>25</v>
      </c>
      <c r="AA11" s="8">
        <v>12</v>
      </c>
      <c r="AB11" s="8">
        <v>35.393752991510702</v>
      </c>
      <c r="AC11" s="17">
        <v>34.369738417387502</v>
      </c>
      <c r="AD11" s="8">
        <v>25</v>
      </c>
      <c r="AE11" s="8">
        <v>1.1153929049554101E-3</v>
      </c>
      <c r="AF11" s="8">
        <v>9.2777429334819298E-4</v>
      </c>
      <c r="AG11" s="8">
        <v>5.0000000000000001E-3</v>
      </c>
      <c r="AH11" s="8">
        <v>32670.852161261399</v>
      </c>
      <c r="AI11" s="8">
        <v>30084.592389933001</v>
      </c>
      <c r="AJ11" s="8">
        <v>21225</v>
      </c>
      <c r="AK11" s="8">
        <v>50.537244444444397</v>
      </c>
      <c r="AL11" s="8">
        <v>115</v>
      </c>
      <c r="AM11" s="9">
        <v>2.2755494737434598</v>
      </c>
    </row>
    <row r="12" spans="1:39" x14ac:dyDescent="0.25">
      <c r="A12" s="7">
        <v>7</v>
      </c>
      <c r="B12" s="8" t="s">
        <v>22</v>
      </c>
      <c r="C12" s="8">
        <v>14934</v>
      </c>
      <c r="D12" s="8">
        <v>7765</v>
      </c>
      <c r="E12" s="8">
        <v>24.979094076655102</v>
      </c>
      <c r="F12" s="17">
        <v>18</v>
      </c>
      <c r="G12" s="8">
        <v>10</v>
      </c>
      <c r="H12" s="8">
        <v>31.7935701797288</v>
      </c>
      <c r="I12" s="17">
        <v>27.572245999924501</v>
      </c>
      <c r="J12" s="8">
        <v>25</v>
      </c>
      <c r="K12" s="8">
        <v>9.6028496343739805E-4</v>
      </c>
      <c r="L12" s="8">
        <v>5.9708226360380705E-4</v>
      </c>
      <c r="M12" s="8">
        <v>5.0000000000000001E-3</v>
      </c>
      <c r="N12" s="8">
        <v>30738.1925230571</v>
      </c>
      <c r="O12" s="8">
        <v>28342.3265132989</v>
      </c>
      <c r="P12" s="8">
        <v>22925</v>
      </c>
      <c r="Q12" s="8">
        <v>28.987733333333299</v>
      </c>
      <c r="R12" s="8">
        <v>287</v>
      </c>
      <c r="S12" s="9">
        <v>9.9007396231969391</v>
      </c>
      <c r="T12" s="8"/>
      <c r="U12" s="8"/>
      <c r="V12" s="7" t="s">
        <v>25</v>
      </c>
      <c r="W12" s="8">
        <v>23761</v>
      </c>
      <c r="X12" s="8">
        <v>16892</v>
      </c>
      <c r="Y12" s="8">
        <v>20.382789317507399</v>
      </c>
      <c r="Z12" s="17">
        <v>16</v>
      </c>
      <c r="AA12" s="8">
        <v>10</v>
      </c>
      <c r="AB12" s="8">
        <v>27.4052051253786</v>
      </c>
      <c r="AC12" s="17">
        <v>25.327917540794498</v>
      </c>
      <c r="AD12" s="8">
        <v>25</v>
      </c>
      <c r="AE12" s="8">
        <v>6.8221492049690504E-4</v>
      </c>
      <c r="AF12" s="8">
        <v>5.0383559763431595E-4</v>
      </c>
      <c r="AG12" s="8">
        <v>5.0000000000000001E-3</v>
      </c>
      <c r="AH12" s="8">
        <v>36793.699037954102</v>
      </c>
      <c r="AI12" s="8">
        <v>33931.546944864604</v>
      </c>
      <c r="AJ12" s="8">
        <v>29775</v>
      </c>
      <c r="AK12" s="8">
        <v>104.951466666667</v>
      </c>
      <c r="AL12" s="8">
        <v>337</v>
      </c>
      <c r="AM12" s="9">
        <v>3.2110080087811999</v>
      </c>
    </row>
    <row r="13" spans="1:39" x14ac:dyDescent="0.25">
      <c r="A13" s="7">
        <v>8</v>
      </c>
      <c r="B13" s="8" t="s">
        <v>89</v>
      </c>
      <c r="C13" s="8">
        <v>42482</v>
      </c>
      <c r="D13" s="8">
        <v>10569</v>
      </c>
      <c r="E13" s="8">
        <v>45.786226685796301</v>
      </c>
      <c r="F13" s="17">
        <v>27</v>
      </c>
      <c r="G13" s="8">
        <v>10</v>
      </c>
      <c r="H13" s="8">
        <v>38.111302632908199</v>
      </c>
      <c r="I13" s="17">
        <v>35.777629640785598</v>
      </c>
      <c r="J13" s="8">
        <v>35</v>
      </c>
      <c r="K13" s="8">
        <v>1.4177479626664301E-3</v>
      </c>
      <c r="L13" s="8">
        <v>1.0053401090204699E-3</v>
      </c>
      <c r="M13" s="8">
        <v>5.0000000000000001E-3</v>
      </c>
      <c r="N13" s="8">
        <v>31335.420876593598</v>
      </c>
      <c r="O13" s="8">
        <v>29482.941414522102</v>
      </c>
      <c r="P13" s="8">
        <v>26975</v>
      </c>
      <c r="Q13" s="8">
        <v>43.781688888888901</v>
      </c>
      <c r="R13" s="8">
        <v>697</v>
      </c>
      <c r="S13" s="9">
        <v>15.919897511694399</v>
      </c>
      <c r="T13" s="8"/>
      <c r="U13" s="8"/>
      <c r="V13" s="7" t="s">
        <v>26</v>
      </c>
      <c r="W13" s="8">
        <v>57049</v>
      </c>
      <c r="X13" s="8">
        <v>11024</v>
      </c>
      <c r="Y13" s="8">
        <v>70.6989247311828</v>
      </c>
      <c r="Z13" s="17">
        <v>41</v>
      </c>
      <c r="AA13" s="8">
        <v>11</v>
      </c>
      <c r="AB13" s="8">
        <v>45.114117371222903</v>
      </c>
      <c r="AC13" s="17">
        <v>38.3069005868538</v>
      </c>
      <c r="AD13" s="8">
        <v>35</v>
      </c>
      <c r="AE13" s="8">
        <v>2.1989915261246399E-3</v>
      </c>
      <c r="AF13" s="8">
        <v>1.1525078989565399E-3</v>
      </c>
      <c r="AG13" s="8">
        <v>5.0000000000000001E-3</v>
      </c>
      <c r="AH13" s="8">
        <v>37978.2295734043</v>
      </c>
      <c r="AI13" s="8">
        <v>35412.657623608597</v>
      </c>
      <c r="AJ13" s="8">
        <v>24575</v>
      </c>
      <c r="AK13" s="8">
        <v>96.583111111111094</v>
      </c>
      <c r="AL13" s="8">
        <v>651</v>
      </c>
      <c r="AM13" s="9">
        <v>6.7403088646738301</v>
      </c>
    </row>
    <row r="14" spans="1:39" x14ac:dyDescent="0.25">
      <c r="A14" s="7">
        <v>9</v>
      </c>
      <c r="B14" s="8" t="s">
        <v>18</v>
      </c>
      <c r="C14" s="8">
        <v>32896</v>
      </c>
      <c r="D14" s="8">
        <v>26894</v>
      </c>
      <c r="E14" s="8">
        <v>18.078313253011999</v>
      </c>
      <c r="F14" s="17">
        <v>14</v>
      </c>
      <c r="G14" s="8">
        <v>10</v>
      </c>
      <c r="H14" s="8">
        <v>26.462352911839901</v>
      </c>
      <c r="I14" s="17">
        <v>23.6102183754092</v>
      </c>
      <c r="J14" s="8">
        <v>25</v>
      </c>
      <c r="K14" s="8">
        <v>6.3987447340742699E-4</v>
      </c>
      <c r="L14" s="8">
        <v>4.3781446777284099E-4</v>
      </c>
      <c r="M14" s="8">
        <v>5.0000000000000001E-3</v>
      </c>
      <c r="N14" s="8">
        <v>34923.266249461798</v>
      </c>
      <c r="O14" s="8">
        <v>31803.394557470001</v>
      </c>
      <c r="P14" s="8">
        <v>26375</v>
      </c>
      <c r="Q14" s="8">
        <v>52.369066666666697</v>
      </c>
      <c r="R14" s="8">
        <v>332</v>
      </c>
      <c r="S14" s="9">
        <v>6.33962033566889</v>
      </c>
      <c r="T14" s="8"/>
      <c r="U14" s="8"/>
      <c r="V14" s="7" t="s">
        <v>27</v>
      </c>
      <c r="W14" s="8">
        <v>69637</v>
      </c>
      <c r="X14" s="8">
        <v>15595</v>
      </c>
      <c r="Y14" s="8">
        <v>63.8040141676505</v>
      </c>
      <c r="Z14" s="17">
        <v>41</v>
      </c>
      <c r="AA14" s="8">
        <v>10</v>
      </c>
      <c r="AB14" s="8">
        <v>43.496986618730901</v>
      </c>
      <c r="AC14" s="17">
        <v>38.519782069207601</v>
      </c>
      <c r="AD14" s="8">
        <v>35</v>
      </c>
      <c r="AE14" s="8">
        <v>1.8640147281808401E-3</v>
      </c>
      <c r="AF14" s="8">
        <v>1.1653530687093701E-3</v>
      </c>
      <c r="AG14" s="8">
        <v>5.0000000000000001E-3</v>
      </c>
      <c r="AH14" s="8">
        <v>38062.669268819103</v>
      </c>
      <c r="AI14" s="8">
        <v>35443.912672916602</v>
      </c>
      <c r="AJ14" s="8">
        <v>31275</v>
      </c>
      <c r="AK14" s="8">
        <v>120.433777777778</v>
      </c>
      <c r="AL14" s="8">
        <v>847</v>
      </c>
      <c r="AM14" s="9">
        <v>7.0329106636750103</v>
      </c>
    </row>
    <row r="15" spans="1:39" ht="15.75" thickBot="1" x14ac:dyDescent="0.3">
      <c r="A15" s="10">
        <v>10</v>
      </c>
      <c r="B15" s="11" t="s">
        <v>85</v>
      </c>
      <c r="C15" s="11">
        <v>51582</v>
      </c>
      <c r="D15" s="11">
        <v>10560</v>
      </c>
      <c r="E15" s="11">
        <v>61.135618479880797</v>
      </c>
      <c r="F15" s="18">
        <v>40</v>
      </c>
      <c r="G15" s="11">
        <v>25</v>
      </c>
      <c r="H15" s="11">
        <v>43.8124233227731</v>
      </c>
      <c r="I15" s="18">
        <v>38.670553886579498</v>
      </c>
      <c r="J15" s="11">
        <v>35</v>
      </c>
      <c r="K15" s="11">
        <v>1.9076167552741601E-3</v>
      </c>
      <c r="L15" s="11">
        <v>1.1744936324656001E-3</v>
      </c>
      <c r="M15" s="11">
        <v>5.0000000000000001E-3</v>
      </c>
      <c r="N15" s="11">
        <v>36552.958951209803</v>
      </c>
      <c r="O15" s="11">
        <v>34355.5265181059</v>
      </c>
      <c r="P15" s="11">
        <v>27825</v>
      </c>
      <c r="Q15" s="11">
        <v>52.167111111111097</v>
      </c>
      <c r="R15" s="11">
        <v>671</v>
      </c>
      <c r="S15" s="12">
        <v>12.8625102235551</v>
      </c>
      <c r="T15" s="11"/>
      <c r="U15" s="11"/>
      <c r="V15" s="10" t="s">
        <v>28</v>
      </c>
      <c r="W15" s="11">
        <v>11643</v>
      </c>
      <c r="X15" s="11">
        <v>7138</v>
      </c>
      <c r="Y15" s="11">
        <v>25.167597765363102</v>
      </c>
      <c r="Z15" s="18">
        <v>18</v>
      </c>
      <c r="AA15" s="11">
        <v>13</v>
      </c>
      <c r="AB15" s="11">
        <v>29.453519390159599</v>
      </c>
      <c r="AC15" s="18">
        <v>26.4399215532016</v>
      </c>
      <c r="AD15" s="11">
        <v>25</v>
      </c>
      <c r="AE15" s="11">
        <v>8.2185547293564499E-4</v>
      </c>
      <c r="AF15" s="11">
        <v>5.4904786348342895E-4</v>
      </c>
      <c r="AG15" s="11">
        <v>5.0000000000000001E-3</v>
      </c>
      <c r="AH15" s="11">
        <v>36698.578239332397</v>
      </c>
      <c r="AI15" s="11">
        <v>34529.966395203301</v>
      </c>
      <c r="AJ15" s="11">
        <v>30075</v>
      </c>
      <c r="AK15" s="11">
        <v>80.477866666666699</v>
      </c>
      <c r="AL15" s="11">
        <v>179</v>
      </c>
      <c r="AM15" s="12">
        <v>2.2242140282048601</v>
      </c>
    </row>
    <row r="16" spans="1:39" x14ac:dyDescent="0.25">
      <c r="C16">
        <f>AVERAGE(C6:C15)</f>
        <v>77892.899999999994</v>
      </c>
      <c r="D16">
        <f t="shared" ref="D16:S16" si="0">AVERAGE(D6:D15)</f>
        <v>30445.8</v>
      </c>
      <c r="E16">
        <f t="shared" si="0"/>
        <v>42.223499977501334</v>
      </c>
      <c r="F16" s="1">
        <f t="shared" si="0"/>
        <v>26.7</v>
      </c>
      <c r="G16">
        <f t="shared" si="0"/>
        <v>11.5</v>
      </c>
      <c r="H16">
        <f t="shared" si="0"/>
        <v>38.682355818818721</v>
      </c>
      <c r="I16" s="1">
        <f t="shared" si="0"/>
        <v>33.852905667891768</v>
      </c>
      <c r="J16">
        <f t="shared" si="0"/>
        <v>30</v>
      </c>
      <c r="K16">
        <f t="shared" si="0"/>
        <v>1.5737797703025177E-3</v>
      </c>
      <c r="L16">
        <f t="shared" si="0"/>
        <v>9.2963093942031289E-4</v>
      </c>
      <c r="M16">
        <f t="shared" si="0"/>
        <v>4.9999999999999992E-3</v>
      </c>
      <c r="N16">
        <f t="shared" si="0"/>
        <v>31574.089578597621</v>
      </c>
      <c r="O16">
        <f t="shared" si="0"/>
        <v>29171.731707082341</v>
      </c>
      <c r="P16">
        <f t="shared" si="0"/>
        <v>25215</v>
      </c>
      <c r="Q16">
        <f t="shared" si="0"/>
        <v>67.701760000000036</v>
      </c>
      <c r="R16">
        <f t="shared" si="0"/>
        <v>1008.6</v>
      </c>
      <c r="S16">
        <f t="shared" si="0"/>
        <v>15.795656818447927</v>
      </c>
      <c r="W16">
        <f t="shared" ref="W16:AD16" si="1">AVERAGE(W6:W15)</f>
        <v>27446.2</v>
      </c>
      <c r="X16">
        <f t="shared" si="1"/>
        <v>8904.7000000000007</v>
      </c>
      <c r="Y16">
        <f t="shared" si="1"/>
        <v>52.654010878817019</v>
      </c>
      <c r="Z16" s="1">
        <f t="shared" si="1"/>
        <v>28.6</v>
      </c>
      <c r="AA16" s="2">
        <f t="shared" si="1"/>
        <v>11.4</v>
      </c>
      <c r="AB16">
        <f t="shared" si="1"/>
        <v>38.4237327799773</v>
      </c>
      <c r="AC16" s="1">
        <f t="shared" si="1"/>
        <v>33.247758046732081</v>
      </c>
      <c r="AD16">
        <f t="shared" si="1"/>
        <v>29</v>
      </c>
    </row>
    <row r="19" spans="1:39" ht="23.25" x14ac:dyDescent="0.35">
      <c r="B19" s="13" t="s">
        <v>38</v>
      </c>
      <c r="V19" s="3" t="s">
        <v>39</v>
      </c>
    </row>
    <row r="20" spans="1:39" ht="15.75" thickBot="1" x14ac:dyDescent="0.3"/>
    <row r="21" spans="1:39" x14ac:dyDescent="0.25">
      <c r="A21" s="4"/>
      <c r="B21" t="s">
        <v>0</v>
      </c>
      <c r="C21" t="s">
        <v>1</v>
      </c>
      <c r="D21" t="s">
        <v>2</v>
      </c>
      <c r="E21" t="s">
        <v>3</v>
      </c>
      <c r="F21" s="1" t="s">
        <v>4</v>
      </c>
      <c r="G21" t="s">
        <v>5</v>
      </c>
      <c r="H21" t="s">
        <v>6</v>
      </c>
      <c r="I21" s="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13</v>
      </c>
      <c r="P21" t="s">
        <v>14</v>
      </c>
      <c r="Q21" t="s">
        <v>15</v>
      </c>
      <c r="R21" t="s">
        <v>16</v>
      </c>
      <c r="S21" t="s">
        <v>17</v>
      </c>
      <c r="T21" s="5"/>
      <c r="U21" s="5"/>
      <c r="V21" t="s">
        <v>0</v>
      </c>
      <c r="W21" t="s">
        <v>1</v>
      </c>
      <c r="X21" t="s">
        <v>2</v>
      </c>
      <c r="Y21" t="s">
        <v>3</v>
      </c>
      <c r="Z21" s="1" t="s">
        <v>4</v>
      </c>
      <c r="AA21" t="s">
        <v>5</v>
      </c>
      <c r="AB21" t="s">
        <v>6</v>
      </c>
      <c r="AC21" s="1" t="s">
        <v>7</v>
      </c>
      <c r="AD21" t="s">
        <v>8</v>
      </c>
      <c r="AE21" t="s">
        <v>9</v>
      </c>
      <c r="AF21" t="s">
        <v>10</v>
      </c>
      <c r="AG21" t="s">
        <v>11</v>
      </c>
      <c r="AH21" t="s">
        <v>12</v>
      </c>
      <c r="AI21" t="s">
        <v>13</v>
      </c>
      <c r="AJ21" t="s">
        <v>14</v>
      </c>
      <c r="AK21" t="s">
        <v>15</v>
      </c>
      <c r="AL21" t="s">
        <v>16</v>
      </c>
      <c r="AM21" t="s">
        <v>17</v>
      </c>
    </row>
    <row r="22" spans="1:39" x14ac:dyDescent="0.25">
      <c r="A22" s="7">
        <v>1</v>
      </c>
      <c r="B22" t="s">
        <v>30</v>
      </c>
      <c r="C22">
        <v>29703</v>
      </c>
      <c r="D22">
        <v>5962</v>
      </c>
      <c r="E22">
        <v>57.763990267639898</v>
      </c>
      <c r="F22" s="1">
        <v>38</v>
      </c>
      <c r="G22">
        <v>11</v>
      </c>
      <c r="H22">
        <v>47.0069791918392</v>
      </c>
      <c r="I22" s="1">
        <v>41.522268824524303</v>
      </c>
      <c r="J22">
        <v>35</v>
      </c>
      <c r="K22">
        <v>2.2345226117747399E-3</v>
      </c>
      <c r="L22">
        <v>1.35410403758287E-3</v>
      </c>
      <c r="M22">
        <v>5.0000000000000001E-3</v>
      </c>
      <c r="N22">
        <v>29704.223086439899</v>
      </c>
      <c r="O22">
        <v>27979.667617003201</v>
      </c>
      <c r="P22">
        <v>22875</v>
      </c>
      <c r="Q22">
        <v>9.7507555555555605</v>
      </c>
      <c r="R22">
        <v>411</v>
      </c>
      <c r="S22">
        <v>42.150579784130699</v>
      </c>
      <c r="T22" s="8"/>
      <c r="U22" s="8"/>
      <c r="V22" t="s">
        <v>40</v>
      </c>
      <c r="W22">
        <v>18898</v>
      </c>
      <c r="X22">
        <v>7052</v>
      </c>
      <c r="Y22">
        <v>45.7374517374517</v>
      </c>
      <c r="Z22" s="1">
        <v>39</v>
      </c>
      <c r="AA22">
        <v>29</v>
      </c>
      <c r="AB22">
        <v>37.261320463820802</v>
      </c>
      <c r="AC22" s="1">
        <v>36.352783280985498</v>
      </c>
      <c r="AD22">
        <v>35</v>
      </c>
      <c r="AE22">
        <v>1.2064978347577E-3</v>
      </c>
      <c r="AF22">
        <v>1.03792319186032E-3</v>
      </c>
      <c r="AG22">
        <v>5.0000000000000001E-3</v>
      </c>
      <c r="AH22">
        <v>41202.961013535598</v>
      </c>
      <c r="AI22">
        <v>37494.033504964304</v>
      </c>
      <c r="AJ22">
        <v>24175</v>
      </c>
      <c r="AK22">
        <v>116.448711111111</v>
      </c>
      <c r="AL22">
        <v>259</v>
      </c>
      <c r="AM22">
        <v>2.2241551454603199</v>
      </c>
    </row>
    <row r="23" spans="1:39" x14ac:dyDescent="0.25">
      <c r="A23" s="7">
        <v>2</v>
      </c>
      <c r="B23" t="s">
        <v>31</v>
      </c>
      <c r="C23">
        <v>215906</v>
      </c>
      <c r="D23">
        <v>67742</v>
      </c>
      <c r="E23">
        <v>52.464589235127498</v>
      </c>
      <c r="F23" s="1">
        <v>29</v>
      </c>
      <c r="G23">
        <v>10</v>
      </c>
      <c r="H23">
        <v>46.119539270194402</v>
      </c>
      <c r="I23" s="1">
        <v>38.516098746644602</v>
      </c>
      <c r="J23">
        <v>35</v>
      </c>
      <c r="K23">
        <v>2.41879144363441E-3</v>
      </c>
      <c r="L23">
        <v>1.1651302501559299E-3</v>
      </c>
      <c r="M23">
        <v>5.0000000000000001E-3</v>
      </c>
      <c r="N23">
        <v>27729.080947759299</v>
      </c>
      <c r="O23">
        <v>25273.863226338199</v>
      </c>
      <c r="P23">
        <v>20825</v>
      </c>
      <c r="Q23">
        <v>51.862755555555601</v>
      </c>
      <c r="R23">
        <v>2826</v>
      </c>
      <c r="S23">
        <v>54.489970109142803</v>
      </c>
      <c r="T23" s="8"/>
      <c r="U23" s="8"/>
      <c r="V23" t="s">
        <v>41</v>
      </c>
      <c r="W23">
        <v>31793</v>
      </c>
      <c r="X23">
        <v>17696</v>
      </c>
      <c r="Y23">
        <v>31.5369127516779</v>
      </c>
      <c r="Z23" s="1">
        <v>27</v>
      </c>
      <c r="AA23">
        <v>10</v>
      </c>
      <c r="AB23">
        <v>33.523028684033498</v>
      </c>
      <c r="AC23" s="1">
        <v>32.567999250569102</v>
      </c>
      <c r="AD23">
        <v>35</v>
      </c>
      <c r="AE23">
        <v>9.93219749822846E-4</v>
      </c>
      <c r="AF23">
        <v>8.3305186331272102E-4</v>
      </c>
      <c r="AG23">
        <v>5.0000000000000001E-3</v>
      </c>
      <c r="AH23">
        <v>36446.265411677799</v>
      </c>
      <c r="AI23">
        <v>31767.955690606199</v>
      </c>
      <c r="AJ23">
        <v>29725</v>
      </c>
      <c r="AK23">
        <v>365.32337777777798</v>
      </c>
      <c r="AL23">
        <v>447</v>
      </c>
      <c r="AM23">
        <v>1.2235734891072501</v>
      </c>
    </row>
    <row r="24" spans="1:39" x14ac:dyDescent="0.25">
      <c r="A24" s="7">
        <v>3</v>
      </c>
      <c r="B24" t="s">
        <v>32</v>
      </c>
      <c r="C24">
        <v>152647</v>
      </c>
      <c r="D24">
        <v>59934</v>
      </c>
      <c r="E24">
        <v>42.275877792977703</v>
      </c>
      <c r="F24" s="1">
        <v>24</v>
      </c>
      <c r="G24">
        <v>10</v>
      </c>
      <c r="H24">
        <v>41.857376590487398</v>
      </c>
      <c r="I24" s="1">
        <v>34.912472889516202</v>
      </c>
      <c r="J24">
        <v>25</v>
      </c>
      <c r="K24">
        <v>1.9609683338609601E-3</v>
      </c>
      <c r="L24">
        <v>9.5730671286582995E-4</v>
      </c>
      <c r="M24">
        <v>5.0000000000000001E-3</v>
      </c>
      <c r="N24">
        <v>28110.838976781499</v>
      </c>
      <c r="O24">
        <v>25414.456835654699</v>
      </c>
      <c r="P24">
        <v>22375</v>
      </c>
      <c r="Q24">
        <v>43.793066666666697</v>
      </c>
      <c r="R24">
        <v>2194</v>
      </c>
      <c r="S24">
        <v>50.099254676539402</v>
      </c>
      <c r="T24" s="8"/>
      <c r="U24" s="8"/>
      <c r="V24" t="s">
        <v>42</v>
      </c>
      <c r="W24">
        <v>42838</v>
      </c>
      <c r="X24">
        <v>13790</v>
      </c>
      <c r="Y24">
        <v>46.476799999999997</v>
      </c>
      <c r="Z24" s="1">
        <v>35</v>
      </c>
      <c r="AA24">
        <v>14</v>
      </c>
      <c r="AB24">
        <v>40.855626025759499</v>
      </c>
      <c r="AC24" s="1">
        <v>39.7028318588887</v>
      </c>
      <c r="AD24">
        <v>35</v>
      </c>
      <c r="AE24">
        <v>1.4808367812161099E-3</v>
      </c>
      <c r="AF24">
        <v>1.2380347941070801E-3</v>
      </c>
      <c r="AG24">
        <v>5.0000000000000001E-3</v>
      </c>
      <c r="AH24">
        <v>34126.194025265802</v>
      </c>
      <c r="AI24">
        <v>31546.3747661817</v>
      </c>
      <c r="AJ24">
        <v>26075</v>
      </c>
      <c r="AK24">
        <v>212.98915555555601</v>
      </c>
      <c r="AL24">
        <v>625</v>
      </c>
      <c r="AM24">
        <v>2.9344217003432198</v>
      </c>
    </row>
    <row r="25" spans="1:39" x14ac:dyDescent="0.25">
      <c r="A25" s="7">
        <v>4</v>
      </c>
      <c r="B25" t="s">
        <v>33</v>
      </c>
      <c r="C25">
        <v>21030</v>
      </c>
      <c r="D25">
        <v>4522</v>
      </c>
      <c r="E25">
        <v>65.249011857707501</v>
      </c>
      <c r="F25" s="1">
        <v>39</v>
      </c>
      <c r="G25">
        <v>10</v>
      </c>
      <c r="H25">
        <v>50.374701867827</v>
      </c>
      <c r="I25" s="1">
        <v>43.624826277602203</v>
      </c>
      <c r="J25">
        <v>45</v>
      </c>
      <c r="K25">
        <v>2.8276401520069901E-3</v>
      </c>
      <c r="L25">
        <v>1.49471124708652E-3</v>
      </c>
      <c r="M25">
        <v>5.0000000000000001E-3</v>
      </c>
      <c r="N25">
        <v>28746.001188210499</v>
      </c>
      <c r="O25">
        <v>26661.9385756259</v>
      </c>
      <c r="P25">
        <v>21525</v>
      </c>
      <c r="Q25">
        <v>7.0314666666666703</v>
      </c>
      <c r="R25">
        <v>253</v>
      </c>
      <c r="S25">
        <v>35.981113470873801</v>
      </c>
      <c r="T25" s="8"/>
      <c r="U25" s="8"/>
      <c r="V25" t="s">
        <v>43</v>
      </c>
      <c r="W25">
        <v>32007</v>
      </c>
      <c r="X25">
        <v>18937</v>
      </c>
      <c r="Y25">
        <v>23.5495495495495</v>
      </c>
      <c r="Z25" s="1">
        <v>20</v>
      </c>
      <c r="AA25">
        <v>10</v>
      </c>
      <c r="AB25">
        <v>29.576198207257001</v>
      </c>
      <c r="AC25" s="1">
        <v>28.463479058092801</v>
      </c>
      <c r="AD25">
        <v>25</v>
      </c>
      <c r="AE25">
        <v>7.6242235054740199E-4</v>
      </c>
      <c r="AF25">
        <v>6.3630574736744201E-4</v>
      </c>
      <c r="AG25">
        <v>5.0000000000000001E-3</v>
      </c>
      <c r="AH25">
        <v>34092.270499845799</v>
      </c>
      <c r="AI25">
        <v>31902.203117781399</v>
      </c>
      <c r="AJ25">
        <v>26275</v>
      </c>
      <c r="AK25">
        <v>283.3152</v>
      </c>
      <c r="AL25">
        <v>555</v>
      </c>
      <c r="AM25">
        <v>1.9589489021415001</v>
      </c>
    </row>
    <row r="26" spans="1:39" x14ac:dyDescent="0.25">
      <c r="A26" s="7">
        <v>5</v>
      </c>
      <c r="B26" t="s">
        <v>34</v>
      </c>
      <c r="C26">
        <v>143577</v>
      </c>
      <c r="D26">
        <v>38385</v>
      </c>
      <c r="E26">
        <v>59.396950875211701</v>
      </c>
      <c r="F26" s="1">
        <v>33</v>
      </c>
      <c r="G26">
        <v>10</v>
      </c>
      <c r="H26">
        <v>49.0419779026385</v>
      </c>
      <c r="I26" s="1">
        <v>41.166821096238301</v>
      </c>
      <c r="J26">
        <v>35</v>
      </c>
      <c r="K26">
        <v>2.6510846954756499E-3</v>
      </c>
      <c r="L26">
        <v>1.3310198903083801E-3</v>
      </c>
      <c r="M26">
        <v>5.0000000000000001E-3</v>
      </c>
      <c r="N26">
        <v>27650.951804677701</v>
      </c>
      <c r="O26">
        <v>25330.468865874202</v>
      </c>
      <c r="P26">
        <v>25325</v>
      </c>
      <c r="Q26">
        <v>41.867377777777797</v>
      </c>
      <c r="R26">
        <v>1771</v>
      </c>
      <c r="S26">
        <v>42.300236938650698</v>
      </c>
      <c r="T26" s="8"/>
      <c r="U26" s="8"/>
      <c r="V26" t="s">
        <v>44</v>
      </c>
      <c r="W26">
        <v>35655</v>
      </c>
      <c r="X26">
        <v>21000</v>
      </c>
      <c r="Y26">
        <v>23.8680781758958</v>
      </c>
      <c r="Z26" s="1">
        <v>20</v>
      </c>
      <c r="AA26">
        <v>10</v>
      </c>
      <c r="AB26">
        <v>29.722683659184099</v>
      </c>
      <c r="AC26" s="1">
        <v>28.4884761159642</v>
      </c>
      <c r="AD26">
        <v>25</v>
      </c>
      <c r="AE26">
        <v>7.6468971982440596E-4</v>
      </c>
      <c r="AF26">
        <v>6.3742386624217003E-4</v>
      </c>
      <c r="AG26">
        <v>5.0000000000000001E-3</v>
      </c>
      <c r="AH26">
        <v>33999.031546373801</v>
      </c>
      <c r="AI26">
        <v>31769.509562482599</v>
      </c>
      <c r="AJ26">
        <v>28575</v>
      </c>
      <c r="AK26">
        <v>305.197511111111</v>
      </c>
      <c r="AL26">
        <v>614</v>
      </c>
      <c r="AM26">
        <v>1.1982566165067601</v>
      </c>
    </row>
    <row r="27" spans="1:39" x14ac:dyDescent="0.25">
      <c r="A27" s="7">
        <v>6</v>
      </c>
      <c r="B27" t="s">
        <v>35</v>
      </c>
      <c r="C27">
        <v>102564</v>
      </c>
      <c r="D27">
        <v>40927</v>
      </c>
      <c r="E27">
        <v>29.6331730769231</v>
      </c>
      <c r="F27" s="1">
        <v>23</v>
      </c>
      <c r="G27">
        <v>10</v>
      </c>
      <c r="H27">
        <v>35.916046090324997</v>
      </c>
      <c r="I27" s="1">
        <v>33.249671544592303</v>
      </c>
      <c r="J27">
        <v>25</v>
      </c>
      <c r="K27">
        <v>1.1913290125809899E-3</v>
      </c>
      <c r="L27">
        <v>8.6828962452709698E-4</v>
      </c>
      <c r="M27">
        <v>5.0000000000000001E-3</v>
      </c>
      <c r="N27">
        <v>28825.6543240233</v>
      </c>
      <c r="O27">
        <v>26694.849501698402</v>
      </c>
      <c r="P27">
        <v>23675</v>
      </c>
      <c r="Q27">
        <v>49.271466666666697</v>
      </c>
      <c r="R27">
        <v>2080</v>
      </c>
      <c r="S27">
        <v>42.215102182196098</v>
      </c>
      <c r="T27" s="8"/>
      <c r="U27" s="8"/>
      <c r="V27" t="s">
        <v>45</v>
      </c>
      <c r="W27">
        <v>17003</v>
      </c>
      <c r="X27">
        <v>11381</v>
      </c>
      <c r="Y27">
        <v>24.4434782608696</v>
      </c>
      <c r="Z27" s="1">
        <v>19</v>
      </c>
      <c r="AA27">
        <v>10</v>
      </c>
      <c r="AB27">
        <v>29.402514225054102</v>
      </c>
      <c r="AC27" s="1">
        <v>27.6732986648143</v>
      </c>
      <c r="AD27">
        <v>25</v>
      </c>
      <c r="AE27">
        <v>7.63224828215721E-4</v>
      </c>
      <c r="AF27">
        <v>6.0147172808647199E-4</v>
      </c>
      <c r="AG27">
        <v>5.0000000000000001E-3</v>
      </c>
      <c r="AH27">
        <v>36863.581176926396</v>
      </c>
      <c r="AI27">
        <v>32646.8727126472</v>
      </c>
      <c r="AJ27">
        <v>25225</v>
      </c>
      <c r="AK27">
        <v>243.28248888888899</v>
      </c>
      <c r="AL27">
        <v>230</v>
      </c>
      <c r="AM27">
        <v>2.0118119501192999</v>
      </c>
    </row>
    <row r="28" spans="1:39" x14ac:dyDescent="0.25">
      <c r="A28" s="7">
        <v>7</v>
      </c>
      <c r="B28" t="s">
        <v>36</v>
      </c>
      <c r="C28">
        <v>69134</v>
      </c>
      <c r="D28">
        <v>36324</v>
      </c>
      <c r="E28">
        <v>26.1018297533811</v>
      </c>
      <c r="F28" s="1">
        <v>21</v>
      </c>
      <c r="G28">
        <v>10</v>
      </c>
      <c r="H28">
        <v>33.171602080932203</v>
      </c>
      <c r="I28" s="1">
        <v>30.914666602259899</v>
      </c>
      <c r="J28">
        <v>25</v>
      </c>
      <c r="K28">
        <v>9.98752314186386E-4</v>
      </c>
      <c r="L28">
        <v>7.5061807110905602E-4</v>
      </c>
      <c r="M28">
        <v>5.0000000000000001E-3</v>
      </c>
      <c r="N28">
        <v>30248.009466105599</v>
      </c>
      <c r="O28">
        <v>27829.3612578756</v>
      </c>
      <c r="P28">
        <v>25875</v>
      </c>
      <c r="Q28">
        <v>57.873066666666702</v>
      </c>
      <c r="R28">
        <v>1257</v>
      </c>
      <c r="S28">
        <v>21.719948024181701</v>
      </c>
      <c r="T28" s="8"/>
      <c r="U28" s="8"/>
      <c r="V28" t="s">
        <v>46</v>
      </c>
      <c r="W28">
        <v>12954</v>
      </c>
      <c r="X28">
        <v>9892</v>
      </c>
      <c r="Y28">
        <v>22.681481481481502</v>
      </c>
      <c r="Z28" s="1">
        <v>19</v>
      </c>
      <c r="AA28">
        <v>11</v>
      </c>
      <c r="AB28">
        <v>27.890805566596001</v>
      </c>
      <c r="AC28" s="1">
        <v>27.424867957580499</v>
      </c>
      <c r="AD28">
        <v>35</v>
      </c>
      <c r="AE28">
        <v>6.8613680776622604E-4</v>
      </c>
      <c r="AF28">
        <v>5.90716323256493E-4</v>
      </c>
      <c r="AG28">
        <v>5.0000000000000001E-3</v>
      </c>
      <c r="AH28">
        <v>38536.855817919997</v>
      </c>
      <c r="AI28">
        <v>33603.531501958198</v>
      </c>
      <c r="AJ28">
        <v>25375</v>
      </c>
      <c r="AK28">
        <v>251.94097777777799</v>
      </c>
      <c r="AL28">
        <v>135</v>
      </c>
      <c r="AM28">
        <v>0.94540302119748898</v>
      </c>
    </row>
    <row r="29" spans="1:39" x14ac:dyDescent="0.25">
      <c r="A29" s="7">
        <v>8</v>
      </c>
      <c r="B29" t="s">
        <v>37</v>
      </c>
      <c r="C29">
        <v>105020</v>
      </c>
      <c r="D29">
        <v>47027</v>
      </c>
      <c r="E29">
        <v>28.192999513855099</v>
      </c>
      <c r="F29" s="1">
        <v>21</v>
      </c>
      <c r="G29">
        <v>10</v>
      </c>
      <c r="H29">
        <v>34.9683111423467</v>
      </c>
      <c r="I29" s="1">
        <v>31.536970840616</v>
      </c>
      <c r="J29">
        <v>25</v>
      </c>
      <c r="K29">
        <v>1.1557992754246901E-3</v>
      </c>
      <c r="L29">
        <v>7.8114172145724297E-4</v>
      </c>
      <c r="M29">
        <v>5.0000000000000001E-3</v>
      </c>
      <c r="N29">
        <v>29286.830982064599</v>
      </c>
      <c r="O29">
        <v>27069.746926667402</v>
      </c>
      <c r="P29">
        <v>27525</v>
      </c>
      <c r="Q29">
        <v>45.6362666666667</v>
      </c>
      <c r="R29">
        <v>2057</v>
      </c>
      <c r="S29">
        <v>45.073800953627497</v>
      </c>
      <c r="T29" s="8"/>
      <c r="U29" s="8"/>
      <c r="V29" t="s">
        <v>47</v>
      </c>
      <c r="W29">
        <v>32136</v>
      </c>
      <c r="X29">
        <v>20844</v>
      </c>
      <c r="Y29">
        <v>23.5741127348643</v>
      </c>
      <c r="Z29" s="1">
        <v>20</v>
      </c>
      <c r="AA29">
        <v>10</v>
      </c>
      <c r="AB29">
        <v>28.9138166491683</v>
      </c>
      <c r="AC29" s="1">
        <v>28.028704548182901</v>
      </c>
      <c r="AD29">
        <v>25</v>
      </c>
      <c r="AE29">
        <v>7.2723818447650802E-4</v>
      </c>
      <c r="AF29">
        <v>6.17015299201012E-4</v>
      </c>
      <c r="AG29">
        <v>5.0000000000000001E-3</v>
      </c>
      <c r="AH29">
        <v>36778.231716279901</v>
      </c>
      <c r="AI29">
        <v>32246.916611591001</v>
      </c>
      <c r="AJ29">
        <v>28975</v>
      </c>
      <c r="AK29">
        <v>393.89582222222202</v>
      </c>
      <c r="AL29">
        <v>479</v>
      </c>
      <c r="AM29">
        <v>0.53583978751989902</v>
      </c>
    </row>
    <row r="30" spans="1:39" x14ac:dyDescent="0.25">
      <c r="A30" s="7">
        <v>9</v>
      </c>
      <c r="B30" s="8"/>
      <c r="C30" s="8"/>
      <c r="D30" s="8"/>
      <c r="E30" s="8"/>
      <c r="F30" s="17"/>
      <c r="G30" s="8"/>
      <c r="H30" s="8"/>
      <c r="I30" s="1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AM30">
        <v>1.2160575791275201</v>
      </c>
    </row>
    <row r="31" spans="1:39" ht="15.75" thickBot="1" x14ac:dyDescent="0.3">
      <c r="A31" s="10">
        <v>10</v>
      </c>
      <c r="B31" s="11"/>
      <c r="C31" s="11"/>
      <c r="D31" s="11"/>
      <c r="E31" s="11"/>
      <c r="F31" s="18"/>
      <c r="G31" s="11"/>
      <c r="H31" s="11"/>
      <c r="I31" s="18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8"/>
      <c r="AA31" s="11"/>
      <c r="AB31" s="11"/>
      <c r="AC31" s="18"/>
      <c r="AD31" s="11"/>
      <c r="AE31" s="11"/>
      <c r="AF31" s="11"/>
      <c r="AG31" s="11"/>
      <c r="AH31" s="11"/>
      <c r="AI31" s="11"/>
      <c r="AJ31" s="11"/>
      <c r="AK31" s="11"/>
      <c r="AL31" s="11"/>
      <c r="AM31" s="12"/>
    </row>
    <row r="32" spans="1:39" x14ac:dyDescent="0.25">
      <c r="C32">
        <f t="shared" ref="C32" si="2">AVERAGE(C22:C31)</f>
        <v>104947.625</v>
      </c>
      <c r="D32">
        <f t="shared" ref="D32" si="3">AVERAGE(D22:D31)</f>
        <v>37602.875</v>
      </c>
      <c r="E32">
        <f t="shared" ref="E32" si="4">AVERAGE(E22:E31)</f>
        <v>45.134802796602941</v>
      </c>
      <c r="F32" s="1">
        <f t="shared" ref="F32" si="5">AVERAGE(F22:F31)</f>
        <v>28.5</v>
      </c>
      <c r="G32" s="2">
        <f t="shared" ref="G32" si="6">AVERAGE(G22:G31)</f>
        <v>10.125</v>
      </c>
      <c r="H32">
        <f t="shared" ref="H32" si="7">AVERAGE(H22:H31)</f>
        <v>42.307066767073799</v>
      </c>
      <c r="I32" s="1">
        <f t="shared" ref="I32" si="8">AVERAGE(I22:I31)</f>
        <v>36.930474602749221</v>
      </c>
      <c r="J32">
        <f t="shared" ref="J32" si="9">AVERAGE(J22:J31)</f>
        <v>31.25</v>
      </c>
      <c r="W32">
        <f t="shared" ref="W32" si="10">AVERAGE(W22:W31)</f>
        <v>27910.5</v>
      </c>
      <c r="X32">
        <f t="shared" ref="X32" si="11">AVERAGE(X22:X31)</f>
        <v>15074</v>
      </c>
      <c r="Y32">
        <f t="shared" ref="Y32" si="12">AVERAGE(Y22:Y31)</f>
        <v>30.23348308647379</v>
      </c>
      <c r="Z32" s="1">
        <f t="shared" ref="Z32" si="13">AVERAGE(Z22:Z31)</f>
        <v>24.875</v>
      </c>
      <c r="AA32" s="2">
        <f t="shared" ref="AA32" si="14">AVERAGE(AA22:AA31)</f>
        <v>13</v>
      </c>
      <c r="AB32">
        <f t="shared" ref="AB32" si="15">AVERAGE(AB22:AB31)</f>
        <v>32.143249185109163</v>
      </c>
      <c r="AC32" s="1">
        <f t="shared" ref="AC32" si="16">AVERAGE(AC22:AC31)</f>
        <v>31.08780509188475</v>
      </c>
      <c r="AD32">
        <f t="shared" ref="AD32" si="17">AVERAGE(AD22:AD31)</f>
        <v>30</v>
      </c>
    </row>
    <row r="34" spans="1:39" ht="21.75" thickBot="1" x14ac:dyDescent="0.4">
      <c r="B34" s="3" t="s">
        <v>48</v>
      </c>
      <c r="V34" s="3" t="s">
        <v>49</v>
      </c>
    </row>
    <row r="35" spans="1:39" s="5" customFormat="1" x14ac:dyDescent="0.25">
      <c r="A35" s="4"/>
      <c r="B35" t="s">
        <v>0</v>
      </c>
      <c r="C35" t="s">
        <v>1</v>
      </c>
      <c r="D35" t="s">
        <v>2</v>
      </c>
      <c r="E35" t="s">
        <v>3</v>
      </c>
      <c r="F35" s="1" t="s">
        <v>4</v>
      </c>
      <c r="G35" t="s">
        <v>5</v>
      </c>
      <c r="H35" t="s">
        <v>6</v>
      </c>
      <c r="I35" s="1" t="s">
        <v>7</v>
      </c>
      <c r="J35" t="s">
        <v>8</v>
      </c>
      <c r="K35" t="s">
        <v>9</v>
      </c>
      <c r="L35" t="s">
        <v>10</v>
      </c>
      <c r="M35" t="s">
        <v>11</v>
      </c>
      <c r="N35" t="s">
        <v>12</v>
      </c>
      <c r="O35" t="s">
        <v>13</v>
      </c>
      <c r="P35" t="s">
        <v>14</v>
      </c>
      <c r="Q35" t="s">
        <v>15</v>
      </c>
      <c r="R35" t="s">
        <v>16</v>
      </c>
      <c r="S35" t="s">
        <v>17</v>
      </c>
      <c r="V35" t="s">
        <v>0</v>
      </c>
      <c r="W35" t="s">
        <v>1</v>
      </c>
      <c r="X35" t="s">
        <v>2</v>
      </c>
      <c r="Y35" t="s">
        <v>3</v>
      </c>
      <c r="Z35" s="1" t="s">
        <v>4</v>
      </c>
      <c r="AA35" t="s">
        <v>5</v>
      </c>
      <c r="AB35" t="s">
        <v>6</v>
      </c>
      <c r="AC35" s="1" t="s">
        <v>7</v>
      </c>
      <c r="AD35" t="s">
        <v>8</v>
      </c>
      <c r="AM35" s="6"/>
    </row>
    <row r="36" spans="1:39" s="8" customFormat="1" x14ac:dyDescent="0.25">
      <c r="A36" s="7">
        <v>1</v>
      </c>
      <c r="B36" t="s">
        <v>50</v>
      </c>
      <c r="C36">
        <v>469633</v>
      </c>
      <c r="D36">
        <v>123886</v>
      </c>
      <c r="E36">
        <v>72.165518680859904</v>
      </c>
      <c r="F36" s="1">
        <v>36</v>
      </c>
      <c r="G36">
        <v>10</v>
      </c>
      <c r="H36">
        <v>52.727933766612097</v>
      </c>
      <c r="I36" s="1">
        <v>42.980365450328101</v>
      </c>
      <c r="J36">
        <v>35</v>
      </c>
      <c r="K36">
        <v>3.2477089857747901E-3</v>
      </c>
      <c r="L36">
        <v>1.45087530612946E-3</v>
      </c>
      <c r="M36">
        <v>5.0000000000000001E-3</v>
      </c>
      <c r="N36">
        <v>27375.782934963801</v>
      </c>
      <c r="O36">
        <v>25165.635761535999</v>
      </c>
      <c r="P36">
        <v>21525</v>
      </c>
      <c r="Q36">
        <v>103.24764444444401</v>
      </c>
      <c r="R36">
        <v>4792</v>
      </c>
      <c r="S36">
        <v>46.412681139456701</v>
      </c>
      <c r="V36" t="s">
        <v>58</v>
      </c>
      <c r="W36">
        <v>112208</v>
      </c>
      <c r="X36">
        <v>30410</v>
      </c>
      <c r="Y36">
        <v>47.446635730858503</v>
      </c>
      <c r="Z36" s="1">
        <v>38</v>
      </c>
      <c r="AA36">
        <v>10</v>
      </c>
      <c r="AB36">
        <v>40.080978901508402</v>
      </c>
      <c r="AC36" s="1">
        <v>39.028901279658598</v>
      </c>
      <c r="AD36">
        <v>35</v>
      </c>
      <c r="AE36">
        <v>1.4504612602990899E-3</v>
      </c>
      <c r="AF36">
        <v>1.1963617984205499E-3</v>
      </c>
      <c r="AG36">
        <v>5.0000000000000001E-3</v>
      </c>
      <c r="AH36">
        <v>35692.017392865302</v>
      </c>
      <c r="AI36">
        <v>32710.045247304701</v>
      </c>
      <c r="AJ36">
        <v>26325</v>
      </c>
      <c r="AK36">
        <v>245.70026666666701</v>
      </c>
      <c r="AL36">
        <v>1724</v>
      </c>
      <c r="AM36">
        <v>7.0166794012433602</v>
      </c>
    </row>
    <row r="37" spans="1:39" s="8" customFormat="1" x14ac:dyDescent="0.25">
      <c r="A37" s="7">
        <v>2</v>
      </c>
      <c r="B37" t="s">
        <v>51</v>
      </c>
      <c r="C37">
        <v>318433</v>
      </c>
      <c r="D37">
        <v>71189</v>
      </c>
      <c r="E37">
        <v>80.117952041477594</v>
      </c>
      <c r="F37" s="1">
        <v>39</v>
      </c>
      <c r="G37">
        <v>10</v>
      </c>
      <c r="H37">
        <v>55.074165264852098</v>
      </c>
      <c r="I37" s="1">
        <v>44.765392974386401</v>
      </c>
      <c r="J37">
        <v>35</v>
      </c>
      <c r="K37">
        <v>3.5130135973444202E-3</v>
      </c>
      <c r="L37">
        <v>1.5738911161199201E-3</v>
      </c>
      <c r="M37">
        <v>5.0000000000000001E-3</v>
      </c>
      <c r="N37">
        <v>27290.984300688</v>
      </c>
      <c r="O37">
        <v>25185.066736197699</v>
      </c>
      <c r="P37">
        <v>21425</v>
      </c>
      <c r="Q37">
        <v>68.482844444444495</v>
      </c>
      <c r="R37">
        <v>3086</v>
      </c>
      <c r="S37">
        <v>45.062380586476202</v>
      </c>
      <c r="V37" t="s">
        <v>59</v>
      </c>
      <c r="W37">
        <v>138839</v>
      </c>
      <c r="X37">
        <v>49519</v>
      </c>
      <c r="Y37">
        <v>42.472658107465499</v>
      </c>
      <c r="Z37" s="1">
        <v>33</v>
      </c>
      <c r="AA37">
        <v>10</v>
      </c>
      <c r="AB37">
        <v>39.116796117370399</v>
      </c>
      <c r="AC37" s="1">
        <v>38.196382241514598</v>
      </c>
      <c r="AD37">
        <v>35</v>
      </c>
      <c r="AE37">
        <v>1.38000186479173E-3</v>
      </c>
      <c r="AF37">
        <v>1.14586734473705E-3</v>
      </c>
      <c r="AG37">
        <v>5.0000000000000001E-3</v>
      </c>
      <c r="AH37">
        <v>34079.507366982099</v>
      </c>
      <c r="AI37">
        <v>30601.517843082998</v>
      </c>
      <c r="AJ37">
        <v>28725</v>
      </c>
      <c r="AK37">
        <v>386.91555555555499</v>
      </c>
      <c r="AL37">
        <v>2103</v>
      </c>
      <c r="AM37">
        <v>5.4352945230656102</v>
      </c>
    </row>
    <row r="38" spans="1:39" s="8" customFormat="1" x14ac:dyDescent="0.25">
      <c r="A38" s="7">
        <v>3</v>
      </c>
      <c r="B38" t="s">
        <v>52</v>
      </c>
      <c r="C38">
        <v>226383</v>
      </c>
      <c r="D38">
        <v>51338</v>
      </c>
      <c r="E38">
        <v>75.385443583118004</v>
      </c>
      <c r="F38" s="1">
        <v>40</v>
      </c>
      <c r="G38">
        <v>10</v>
      </c>
      <c r="H38">
        <v>52.7056341065475</v>
      </c>
      <c r="I38" s="1">
        <v>43.444632342689196</v>
      </c>
      <c r="J38">
        <v>35</v>
      </c>
      <c r="K38">
        <v>3.1195725367081299E-3</v>
      </c>
      <c r="L38">
        <v>1.48238884359598E-3</v>
      </c>
      <c r="M38">
        <v>5.0000000000000001E-3</v>
      </c>
      <c r="N38">
        <v>28784.110235917102</v>
      </c>
      <c r="O38">
        <v>26541.388980833999</v>
      </c>
      <c r="P38">
        <v>23825</v>
      </c>
      <c r="Q38">
        <v>60.734577777777801</v>
      </c>
      <c r="R38">
        <v>2322</v>
      </c>
      <c r="S38">
        <v>38.2319279224429</v>
      </c>
      <c r="V38" t="s">
        <v>60</v>
      </c>
      <c r="W38">
        <v>277238</v>
      </c>
      <c r="X38">
        <v>72869</v>
      </c>
      <c r="Y38">
        <v>48.359914813061998</v>
      </c>
      <c r="Z38" s="1">
        <v>38</v>
      </c>
      <c r="AA38">
        <v>10</v>
      </c>
      <c r="AB38">
        <v>41.189310107418002</v>
      </c>
      <c r="AC38" s="1">
        <v>39.648143944492297</v>
      </c>
      <c r="AD38">
        <v>35</v>
      </c>
      <c r="AE38">
        <v>1.51381876336396E-3</v>
      </c>
      <c r="AF38">
        <v>1.23462654948235E-3</v>
      </c>
      <c r="AG38">
        <v>5.0000000000000001E-3</v>
      </c>
      <c r="AH38">
        <v>33765.599831329899</v>
      </c>
      <c r="AI38">
        <v>31794.867948873201</v>
      </c>
      <c r="AJ38">
        <v>31875</v>
      </c>
      <c r="AK38">
        <v>365.61919999999998</v>
      </c>
      <c r="AL38">
        <v>4226</v>
      </c>
      <c r="AM38">
        <v>11.5584739532278</v>
      </c>
    </row>
    <row r="39" spans="1:39" s="8" customFormat="1" x14ac:dyDescent="0.25">
      <c r="A39" s="7">
        <v>4</v>
      </c>
      <c r="B39" t="s">
        <v>53</v>
      </c>
      <c r="C39">
        <v>80031</v>
      </c>
      <c r="D39">
        <v>27048</v>
      </c>
      <c r="E39">
        <v>47.475806451612897</v>
      </c>
      <c r="F39" s="1">
        <v>25</v>
      </c>
      <c r="G39">
        <v>10</v>
      </c>
      <c r="H39">
        <v>44.0809768025293</v>
      </c>
      <c r="I39" s="1">
        <v>34.982195474221797</v>
      </c>
      <c r="J39">
        <v>25</v>
      </c>
      <c r="K39">
        <v>2.22455542740616E-3</v>
      </c>
      <c r="L39">
        <v>9.6113425642252003E-4</v>
      </c>
      <c r="M39">
        <v>5.0000000000000001E-3</v>
      </c>
      <c r="N39">
        <v>27666.265031876799</v>
      </c>
      <c r="O39">
        <v>25110.366560397299</v>
      </c>
      <c r="P39">
        <v>22875</v>
      </c>
      <c r="Q39">
        <v>19.837155555555601</v>
      </c>
      <c r="R39">
        <v>1116</v>
      </c>
      <c r="S39">
        <v>56.2580656724978</v>
      </c>
      <c r="V39" t="s">
        <v>61</v>
      </c>
      <c r="W39">
        <v>11451</v>
      </c>
      <c r="X39">
        <v>5036</v>
      </c>
      <c r="Y39">
        <v>32.075000000000003</v>
      </c>
      <c r="Z39" s="1">
        <v>26</v>
      </c>
      <c r="AA39">
        <v>10</v>
      </c>
      <c r="AB39">
        <v>35.593224308667899</v>
      </c>
      <c r="AC39" s="1">
        <v>34.459405414782601</v>
      </c>
      <c r="AD39">
        <v>35</v>
      </c>
      <c r="AE39">
        <v>1.12907997909747E-3</v>
      </c>
      <c r="AF39">
        <v>9.3262153789401103E-4</v>
      </c>
      <c r="AG39">
        <v>5.0000000000000001E-3</v>
      </c>
      <c r="AH39">
        <v>31802.272832888699</v>
      </c>
      <c r="AI39">
        <v>29627.328537245099</v>
      </c>
      <c r="AJ39">
        <v>22325</v>
      </c>
      <c r="AK39">
        <v>31.103999999999999</v>
      </c>
      <c r="AL39">
        <v>200</v>
      </c>
      <c r="AM39">
        <v>6.43004115226337</v>
      </c>
    </row>
    <row r="40" spans="1:39" s="8" customFormat="1" x14ac:dyDescent="0.25">
      <c r="A40" s="7">
        <v>5</v>
      </c>
      <c r="B40" t="s">
        <v>54</v>
      </c>
      <c r="C40">
        <v>115310</v>
      </c>
      <c r="D40">
        <v>34811</v>
      </c>
      <c r="E40">
        <v>52.238157040882498</v>
      </c>
      <c r="F40" s="1">
        <v>26</v>
      </c>
      <c r="G40">
        <v>10</v>
      </c>
      <c r="H40">
        <v>45.704599634514501</v>
      </c>
      <c r="I40" s="1">
        <v>36.136456531925099</v>
      </c>
      <c r="J40">
        <v>25</v>
      </c>
      <c r="K40">
        <v>2.4232991580714798E-3</v>
      </c>
      <c r="L40">
        <v>1.0256070792674999E-3</v>
      </c>
      <c r="M40">
        <v>5.0000000000000001E-3</v>
      </c>
      <c r="N40">
        <v>27764.799378918498</v>
      </c>
      <c r="O40">
        <v>25344.1202439015</v>
      </c>
      <c r="P40">
        <v>24075</v>
      </c>
      <c r="Q40">
        <v>33.658311111111097</v>
      </c>
      <c r="R40">
        <v>1541</v>
      </c>
      <c r="S40">
        <v>45.783640032113603</v>
      </c>
      <c r="V40" t="s">
        <v>62</v>
      </c>
      <c r="W40">
        <v>92030</v>
      </c>
      <c r="X40">
        <v>35811</v>
      </c>
      <c r="Y40">
        <v>33.0311398354877</v>
      </c>
      <c r="Z40" s="1">
        <v>27</v>
      </c>
      <c r="AA40">
        <v>10</v>
      </c>
      <c r="AB40">
        <v>36.012945253903602</v>
      </c>
      <c r="AC40" s="1">
        <v>34.255796962736603</v>
      </c>
      <c r="AD40">
        <v>35</v>
      </c>
      <c r="AE40">
        <v>1.16808029945423E-3</v>
      </c>
      <c r="AF40">
        <v>9.2163338363170598E-4</v>
      </c>
      <c r="AG40">
        <v>5.0000000000000001E-3</v>
      </c>
      <c r="AH40">
        <v>31723.3171044314</v>
      </c>
      <c r="AI40">
        <v>29586.841875631399</v>
      </c>
      <c r="AJ40">
        <v>26175</v>
      </c>
      <c r="AK40">
        <v>186.31111111111099</v>
      </c>
      <c r="AL40">
        <v>1702</v>
      </c>
      <c r="AM40">
        <v>9.1352576335877895</v>
      </c>
    </row>
    <row r="41" spans="1:39" s="8" customFormat="1" x14ac:dyDescent="0.25">
      <c r="A41" s="7">
        <v>6</v>
      </c>
      <c r="B41" t="s">
        <v>83</v>
      </c>
      <c r="C41">
        <v>102331</v>
      </c>
      <c r="D41">
        <v>25772</v>
      </c>
      <c r="E41">
        <v>61.890864995957998</v>
      </c>
      <c r="F41" s="1">
        <v>28</v>
      </c>
      <c r="G41">
        <v>10</v>
      </c>
      <c r="H41">
        <v>47.555173105368503</v>
      </c>
      <c r="I41" s="1">
        <v>37.468313403459099</v>
      </c>
      <c r="J41">
        <v>25</v>
      </c>
      <c r="K41">
        <v>2.82264342224685E-3</v>
      </c>
      <c r="L41">
        <v>1.1026004612445801E-3</v>
      </c>
      <c r="M41">
        <v>5.0000000000000001E-3</v>
      </c>
      <c r="N41">
        <v>28461.3858206162</v>
      </c>
      <c r="O41">
        <v>26105.5523309692</v>
      </c>
      <c r="P41">
        <v>24375</v>
      </c>
      <c r="Q41">
        <v>28.768711111111099</v>
      </c>
      <c r="R41">
        <v>1237</v>
      </c>
      <c r="S41">
        <v>42.998102877199898</v>
      </c>
      <c r="V41" t="s">
        <v>96</v>
      </c>
      <c r="W41">
        <v>55191</v>
      </c>
      <c r="X41">
        <v>16976</v>
      </c>
      <c r="Y41">
        <v>33.521929824561397</v>
      </c>
      <c r="Z41" s="1">
        <v>26</v>
      </c>
      <c r="AA41">
        <v>10</v>
      </c>
      <c r="AB41">
        <v>34.504187366735898</v>
      </c>
      <c r="AC41" s="1">
        <v>32.642934344527397</v>
      </c>
      <c r="AD41">
        <v>35</v>
      </c>
      <c r="AE41">
        <v>1.08305364784507E-3</v>
      </c>
      <c r="AF41">
        <v>8.3689028471708299E-4</v>
      </c>
      <c r="AG41">
        <v>5.0000000000000001E-3</v>
      </c>
      <c r="AH41">
        <v>34586.032884027503</v>
      </c>
      <c r="AI41">
        <v>32225.021218484799</v>
      </c>
      <c r="AJ41">
        <v>26275</v>
      </c>
      <c r="AK41">
        <v>100.397511111111</v>
      </c>
      <c r="AL41">
        <v>1140</v>
      </c>
      <c r="AM41">
        <v>11.354863157298301</v>
      </c>
    </row>
    <row r="42" spans="1:39" s="8" customFormat="1" x14ac:dyDescent="0.25">
      <c r="A42" s="7">
        <v>7</v>
      </c>
      <c r="B42" t="s">
        <v>84</v>
      </c>
      <c r="C42">
        <v>254658</v>
      </c>
      <c r="D42">
        <v>81364</v>
      </c>
      <c r="E42">
        <v>44.320716112531997</v>
      </c>
      <c r="F42" s="1">
        <v>27</v>
      </c>
      <c r="G42">
        <v>10</v>
      </c>
      <c r="H42">
        <v>43.2908523210263</v>
      </c>
      <c r="I42" s="1">
        <v>36.741141180809599</v>
      </c>
      <c r="J42">
        <v>25</v>
      </c>
      <c r="K42">
        <v>1.9621678434404801E-3</v>
      </c>
      <c r="L42">
        <v>1.0602179782465101E-3</v>
      </c>
      <c r="M42">
        <v>5.0000000000000001E-3</v>
      </c>
      <c r="N42">
        <v>27682.859472374399</v>
      </c>
      <c r="O42">
        <v>25470.069689985401</v>
      </c>
      <c r="P42">
        <v>23275</v>
      </c>
      <c r="Q42">
        <v>77.311999999999998</v>
      </c>
      <c r="R42">
        <v>3910</v>
      </c>
      <c r="S42">
        <v>50.5742963576159</v>
      </c>
      <c r="V42" t="s">
        <v>97</v>
      </c>
      <c r="W42">
        <v>43747</v>
      </c>
      <c r="X42">
        <v>19379</v>
      </c>
      <c r="Y42">
        <v>29.862745098039198</v>
      </c>
      <c r="Z42" s="1">
        <v>24</v>
      </c>
      <c r="AA42">
        <v>10</v>
      </c>
      <c r="AB42">
        <v>33.6530834870277</v>
      </c>
      <c r="AC42" s="1">
        <v>32.442258218966302</v>
      </c>
      <c r="AD42">
        <v>35</v>
      </c>
      <c r="AE42">
        <v>1.0228326259862301E-3</v>
      </c>
      <c r="AF42">
        <v>8.2663166001439099E-4</v>
      </c>
      <c r="AG42">
        <v>5.0000000000000001E-3</v>
      </c>
      <c r="AH42">
        <v>33370.864981259998</v>
      </c>
      <c r="AI42">
        <v>30456.256891413701</v>
      </c>
      <c r="AJ42">
        <v>27125</v>
      </c>
      <c r="AK42">
        <v>173.789866666667</v>
      </c>
      <c r="AL42">
        <v>816</v>
      </c>
      <c r="AM42">
        <v>4.6953255425709504</v>
      </c>
    </row>
    <row r="43" spans="1:39" s="8" customFormat="1" x14ac:dyDescent="0.25">
      <c r="A43" s="7">
        <v>8</v>
      </c>
      <c r="B43" t="s">
        <v>55</v>
      </c>
      <c r="C43">
        <v>65112</v>
      </c>
      <c r="D43">
        <v>29856</v>
      </c>
      <c r="E43">
        <v>35.115537848605598</v>
      </c>
      <c r="F43" s="1">
        <v>21</v>
      </c>
      <c r="G43">
        <v>10</v>
      </c>
      <c r="H43">
        <v>38.545246737969798</v>
      </c>
      <c r="I43" s="1">
        <v>32.316474441770502</v>
      </c>
      <c r="J43">
        <v>25</v>
      </c>
      <c r="K43">
        <v>1.54110742663952E-3</v>
      </c>
      <c r="L43">
        <v>8.2023423574864899E-4</v>
      </c>
      <c r="M43">
        <v>5.0000000000000001E-3</v>
      </c>
      <c r="N43">
        <v>28429.667006293799</v>
      </c>
      <c r="O43">
        <v>26164.593209811399</v>
      </c>
      <c r="P43">
        <v>20975</v>
      </c>
      <c r="Q43">
        <v>25.8872888888889</v>
      </c>
      <c r="R43">
        <v>1004</v>
      </c>
      <c r="S43">
        <v>38.783512800791101</v>
      </c>
      <c r="V43" t="s">
        <v>98</v>
      </c>
      <c r="W43">
        <v>27127</v>
      </c>
      <c r="X43">
        <v>10002</v>
      </c>
      <c r="Y43">
        <v>29.679376083188899</v>
      </c>
      <c r="Z43" s="1">
        <v>23</v>
      </c>
      <c r="AA43">
        <v>10</v>
      </c>
      <c r="AB43">
        <v>32.707579006207197</v>
      </c>
      <c r="AC43" s="1">
        <v>31.245255166838302</v>
      </c>
      <c r="AD43">
        <v>35</v>
      </c>
      <c r="AE43">
        <v>9.5274045140558304E-4</v>
      </c>
      <c r="AF43">
        <v>7.66757500171661E-4</v>
      </c>
      <c r="AG43">
        <v>5.0000000000000001E-3</v>
      </c>
      <c r="AH43">
        <v>34943.485111056601</v>
      </c>
      <c r="AI43">
        <v>32338.4491053813</v>
      </c>
      <c r="AJ43">
        <v>34375</v>
      </c>
      <c r="AK43">
        <v>92.350577777777801</v>
      </c>
      <c r="AL43">
        <v>577</v>
      </c>
      <c r="AM43">
        <v>6.2479305910616896</v>
      </c>
    </row>
    <row r="44" spans="1:39" s="8" customFormat="1" x14ac:dyDescent="0.25">
      <c r="A44" s="7">
        <v>9</v>
      </c>
      <c r="B44" t="s">
        <v>56</v>
      </c>
      <c r="C44">
        <v>89620</v>
      </c>
      <c r="D44">
        <v>30310</v>
      </c>
      <c r="E44">
        <v>52.299823633156997</v>
      </c>
      <c r="F44" s="1">
        <v>24</v>
      </c>
      <c r="G44">
        <v>10</v>
      </c>
      <c r="H44">
        <v>45.428487195318098</v>
      </c>
      <c r="I44" s="1">
        <v>35.414859911059402</v>
      </c>
      <c r="J44">
        <v>25</v>
      </c>
      <c r="K44">
        <v>2.5253508378296598E-3</v>
      </c>
      <c r="L44">
        <v>9.8505788184702391E-4</v>
      </c>
      <c r="M44">
        <v>5.0000000000000001E-3</v>
      </c>
      <c r="N44">
        <v>28000.0106821359</v>
      </c>
      <c r="O44">
        <v>25184.176296055499</v>
      </c>
      <c r="P44">
        <v>21775</v>
      </c>
      <c r="Q44">
        <v>26.504533333333299</v>
      </c>
      <c r="R44">
        <v>1135</v>
      </c>
      <c r="S44">
        <v>42.8228630070831</v>
      </c>
      <c r="V44" t="s">
        <v>99</v>
      </c>
      <c r="W44">
        <v>28574</v>
      </c>
      <c r="X44">
        <v>14164</v>
      </c>
      <c r="Y44">
        <v>28.0350194552529</v>
      </c>
      <c r="Z44" s="1">
        <v>22</v>
      </c>
      <c r="AA44">
        <v>10</v>
      </c>
      <c r="AB44">
        <v>31.6953988531615</v>
      </c>
      <c r="AC44" s="1">
        <v>30.3437310382043</v>
      </c>
      <c r="AD44">
        <v>25</v>
      </c>
      <c r="AE44">
        <v>9.0501718401966901E-4</v>
      </c>
      <c r="AF44">
        <v>7.2314926385879503E-4</v>
      </c>
      <c r="AG44">
        <v>5.0000000000000001E-3</v>
      </c>
      <c r="AH44">
        <v>34548.2129654612</v>
      </c>
      <c r="AI44">
        <v>31589.616587130298</v>
      </c>
      <c r="AJ44">
        <v>26125</v>
      </c>
      <c r="AK44">
        <v>176.05973333333301</v>
      </c>
      <c r="AL44">
        <v>514</v>
      </c>
      <c r="AM44">
        <v>2.9194636971694501</v>
      </c>
    </row>
    <row r="45" spans="1:39" s="11" customFormat="1" ht="15.75" thickBot="1" x14ac:dyDescent="0.3">
      <c r="A45" s="10">
        <v>10</v>
      </c>
      <c r="B45" t="s">
        <v>57</v>
      </c>
      <c r="C45">
        <v>216129</v>
      </c>
      <c r="D45">
        <v>71042</v>
      </c>
      <c r="E45">
        <v>46.741301546391803</v>
      </c>
      <c r="F45" s="1">
        <v>25</v>
      </c>
      <c r="G45">
        <v>10</v>
      </c>
      <c r="H45">
        <v>43.876656033145899</v>
      </c>
      <c r="I45" s="1">
        <v>36.019053509813197</v>
      </c>
      <c r="J45">
        <v>25</v>
      </c>
      <c r="K45">
        <v>2.15315992439918E-3</v>
      </c>
      <c r="L45">
        <v>1.01895378381014E-3</v>
      </c>
      <c r="M45">
        <v>5.0000000000000001E-3</v>
      </c>
      <c r="N45">
        <v>27687.266562298599</v>
      </c>
      <c r="O45">
        <v>25410.998030062001</v>
      </c>
      <c r="P45">
        <v>21525</v>
      </c>
      <c r="Q45">
        <v>65.1719111111111</v>
      </c>
      <c r="R45">
        <v>3105</v>
      </c>
      <c r="S45">
        <v>47.643224620286297</v>
      </c>
      <c r="V45" t="s">
        <v>100</v>
      </c>
      <c r="W45">
        <v>23009</v>
      </c>
      <c r="X45">
        <v>7896</v>
      </c>
      <c r="Y45">
        <v>29.926732673267299</v>
      </c>
      <c r="Z45" s="1">
        <v>25</v>
      </c>
      <c r="AA45">
        <v>10</v>
      </c>
      <c r="AB45">
        <v>33.744382798401801</v>
      </c>
      <c r="AC45" s="1">
        <v>32.157185112456403</v>
      </c>
      <c r="AD45">
        <v>35</v>
      </c>
      <c r="AE45">
        <v>9.8725483688608898E-4</v>
      </c>
      <c r="AF45">
        <v>8.1216810978949102E-4</v>
      </c>
      <c r="AG45">
        <v>5.0000000000000001E-3</v>
      </c>
      <c r="AH45">
        <v>32799.105411486198</v>
      </c>
      <c r="AI45">
        <v>31733.2787665537</v>
      </c>
      <c r="AJ45">
        <v>27725</v>
      </c>
      <c r="AK45">
        <v>36.955022222222198</v>
      </c>
      <c r="AL45">
        <v>505</v>
      </c>
      <c r="AM45">
        <v>13.6652603525246</v>
      </c>
    </row>
    <row r="46" spans="1:39" x14ac:dyDescent="0.25">
      <c r="C46">
        <f t="shared" ref="C46" si="18">AVERAGE(C36:C45)</f>
        <v>193764</v>
      </c>
      <c r="D46">
        <f t="shared" ref="D46" si="19">AVERAGE(D36:D45)</f>
        <v>54661.599999999999</v>
      </c>
      <c r="E46">
        <f t="shared" ref="E46" si="20">AVERAGE(E36:E45)</f>
        <v>56.775112193459528</v>
      </c>
      <c r="F46" s="1">
        <f t="shared" ref="F46" si="21">AVERAGE(F36:F45)</f>
        <v>29.1</v>
      </c>
      <c r="G46" s="2">
        <f t="shared" ref="G46" si="22">AVERAGE(G36:G45)</f>
        <v>10</v>
      </c>
      <c r="H46">
        <f t="shared" ref="H46" si="23">AVERAGE(H36:H45)</f>
        <v>46.89897249678841</v>
      </c>
      <c r="I46" s="1">
        <f t="shared" ref="I46" si="24">AVERAGE(I36:I45)</f>
        <v>38.026888522046235</v>
      </c>
      <c r="J46">
        <f t="shared" ref="J46" si="25">AVERAGE(J36:J45)</f>
        <v>28</v>
      </c>
      <c r="W46">
        <f t="shared" ref="W46" si="26">AVERAGE(W36:W45)</f>
        <v>80941.399999999994</v>
      </c>
      <c r="X46">
        <f t="shared" ref="X46" si="27">AVERAGE(X36:X45)</f>
        <v>26206.2</v>
      </c>
      <c r="Y46">
        <f t="shared" ref="Y46" si="28">AVERAGE(Y36:Y45)</f>
        <v>35.441115162118336</v>
      </c>
      <c r="Z46" s="1">
        <f t="shared" ref="Z46" si="29">AVERAGE(Z36:Z45)</f>
        <v>28.2</v>
      </c>
      <c r="AA46" s="2">
        <f t="shared" ref="AA46" si="30">AVERAGE(AA36:AA45)</f>
        <v>10</v>
      </c>
      <c r="AB46">
        <f t="shared" ref="AB46" si="31">AVERAGE(AB36:AB45)</f>
        <v>35.829788620040247</v>
      </c>
      <c r="AC46" s="1">
        <f t="shared" ref="AC46" si="32">AVERAGE(AC36:AC45)</f>
        <v>34.44199937241774</v>
      </c>
      <c r="AD46">
        <f t="shared" ref="AD46" si="33">AVERAGE(AD36:AD45)</f>
        <v>34</v>
      </c>
    </row>
    <row r="48" spans="1:39" ht="21.75" thickBot="1" x14ac:dyDescent="0.4">
      <c r="B48" s="3" t="s">
        <v>63</v>
      </c>
      <c r="V48" s="3" t="s">
        <v>64</v>
      </c>
    </row>
    <row r="49" spans="1:39" x14ac:dyDescent="0.25">
      <c r="A49" s="4"/>
      <c r="B49" t="s">
        <v>0</v>
      </c>
      <c r="C49" t="s">
        <v>1</v>
      </c>
      <c r="D49" t="s">
        <v>2</v>
      </c>
      <c r="E49" t="s">
        <v>3</v>
      </c>
      <c r="F49" s="1" t="s">
        <v>4</v>
      </c>
      <c r="G49" t="s">
        <v>5</v>
      </c>
      <c r="H49" t="s">
        <v>6</v>
      </c>
      <c r="I49" s="1" t="s">
        <v>7</v>
      </c>
      <c r="J49" t="s">
        <v>8</v>
      </c>
      <c r="K49" t="s">
        <v>9</v>
      </c>
      <c r="L49" t="s">
        <v>10</v>
      </c>
      <c r="M49" t="s">
        <v>11</v>
      </c>
      <c r="N49" t="s">
        <v>12</v>
      </c>
      <c r="O49" t="s">
        <v>13</v>
      </c>
      <c r="P49" t="s">
        <v>14</v>
      </c>
      <c r="Q49" t="s">
        <v>15</v>
      </c>
      <c r="R49" t="s">
        <v>16</v>
      </c>
      <c r="S49" t="s">
        <v>17</v>
      </c>
      <c r="T49" s="5"/>
      <c r="U49" s="5"/>
      <c r="V49" t="s">
        <v>0</v>
      </c>
      <c r="W49" t="s">
        <v>1</v>
      </c>
      <c r="X49" t="s">
        <v>2</v>
      </c>
      <c r="Y49" t="s">
        <v>3</v>
      </c>
      <c r="Z49" s="1" t="s">
        <v>4</v>
      </c>
      <c r="AA49" t="s">
        <v>5</v>
      </c>
      <c r="AB49" t="s">
        <v>6</v>
      </c>
      <c r="AC49" s="1" t="s">
        <v>7</v>
      </c>
      <c r="AD49" t="s">
        <v>8</v>
      </c>
      <c r="AE49" t="s">
        <v>9</v>
      </c>
      <c r="AF49" t="s">
        <v>10</v>
      </c>
      <c r="AG49" t="s">
        <v>11</v>
      </c>
      <c r="AH49" t="s">
        <v>12</v>
      </c>
      <c r="AI49" t="s">
        <v>13</v>
      </c>
      <c r="AJ49" t="s">
        <v>14</v>
      </c>
      <c r="AK49" t="s">
        <v>15</v>
      </c>
      <c r="AL49" t="s">
        <v>16</v>
      </c>
      <c r="AM49" t="s">
        <v>17</v>
      </c>
    </row>
    <row r="50" spans="1:39" x14ac:dyDescent="0.25">
      <c r="A50" s="7">
        <v>1</v>
      </c>
      <c r="B50" s="14" t="s">
        <v>65</v>
      </c>
      <c r="C50" s="14">
        <v>464665</v>
      </c>
      <c r="D50" s="14">
        <v>111282</v>
      </c>
      <c r="E50" s="14">
        <v>101.838040345821</v>
      </c>
      <c r="F50" s="19">
        <v>23</v>
      </c>
      <c r="G50" s="14">
        <v>10</v>
      </c>
      <c r="H50" s="14">
        <v>54.613417781159598</v>
      </c>
      <c r="I50" s="19">
        <v>34.734938401920303</v>
      </c>
      <c r="J50" s="14">
        <v>25</v>
      </c>
      <c r="K50" s="14">
        <v>5.2363909461246201E-3</v>
      </c>
      <c r="L50" s="14">
        <v>9.4759549796581298E-4</v>
      </c>
      <c r="M50" s="14">
        <v>5.0000000000000001E-3</v>
      </c>
      <c r="N50" s="14">
        <v>28554.6337908231</v>
      </c>
      <c r="O50" s="14">
        <v>25037.043453265698</v>
      </c>
      <c r="P50" s="14">
        <v>22575</v>
      </c>
      <c r="Q50" s="14">
        <v>102.48817777777801</v>
      </c>
      <c r="R50" s="14">
        <v>3473</v>
      </c>
      <c r="S50" s="14">
        <v>33.886835294607401</v>
      </c>
      <c r="T50" s="8"/>
      <c r="U50" s="8"/>
      <c r="V50" t="s">
        <v>74</v>
      </c>
      <c r="W50">
        <v>41226</v>
      </c>
      <c r="X50">
        <v>12754</v>
      </c>
      <c r="Y50">
        <v>44.006182380216401</v>
      </c>
      <c r="Z50" s="1">
        <v>35</v>
      </c>
      <c r="AA50">
        <v>15</v>
      </c>
      <c r="AB50">
        <v>40.154340618798699</v>
      </c>
      <c r="AC50" s="1">
        <v>39.046795438630497</v>
      </c>
      <c r="AD50">
        <v>35</v>
      </c>
      <c r="AE50">
        <v>1.42179012528752E-3</v>
      </c>
      <c r="AF50">
        <v>1.19745906442404E-3</v>
      </c>
      <c r="AG50">
        <v>5.0000000000000001E-3</v>
      </c>
      <c r="AH50">
        <v>32049.9898593037</v>
      </c>
      <c r="AI50">
        <v>30348.745623053201</v>
      </c>
      <c r="AJ50">
        <v>29375</v>
      </c>
      <c r="AK50">
        <v>77.747200000000007</v>
      </c>
      <c r="AL50">
        <v>647</v>
      </c>
      <c r="AM50">
        <v>8.3218431017451397</v>
      </c>
    </row>
    <row r="51" spans="1:39" x14ac:dyDescent="0.25">
      <c r="A51" s="7">
        <v>2</v>
      </c>
      <c r="B51" s="14" t="s">
        <v>66</v>
      </c>
      <c r="C51" s="14">
        <v>214720</v>
      </c>
      <c r="D51" s="14">
        <v>60218</v>
      </c>
      <c r="E51" s="14">
        <v>46.355235523552402</v>
      </c>
      <c r="F51" s="19">
        <v>33</v>
      </c>
      <c r="G51" s="14">
        <v>10</v>
      </c>
      <c r="H51" s="14">
        <v>42.873903702954003</v>
      </c>
      <c r="I51" s="19">
        <v>39.370391158129898</v>
      </c>
      <c r="J51" s="14">
        <v>35</v>
      </c>
      <c r="K51" s="14">
        <v>1.7501880216769801E-3</v>
      </c>
      <c r="L51" s="14">
        <v>1.2173889087513099E-3</v>
      </c>
      <c r="M51" s="14">
        <v>5.0000000000000001E-3</v>
      </c>
      <c r="N51" s="14">
        <v>29661.6060408946</v>
      </c>
      <c r="O51" s="14">
        <v>27943.5518391156</v>
      </c>
      <c r="P51" s="14">
        <v>27725</v>
      </c>
      <c r="Q51" s="14">
        <v>95.610311111111102</v>
      </c>
      <c r="R51" s="14">
        <v>3333</v>
      </c>
      <c r="S51" s="14">
        <v>34.860256820277897</v>
      </c>
      <c r="T51" s="8"/>
      <c r="U51" s="8"/>
      <c r="V51" t="s">
        <v>75</v>
      </c>
      <c r="W51">
        <v>288135</v>
      </c>
      <c r="X51">
        <v>81616</v>
      </c>
      <c r="Y51">
        <v>49.489336208962399</v>
      </c>
      <c r="Z51" s="1">
        <v>36</v>
      </c>
      <c r="AA51">
        <v>10</v>
      </c>
      <c r="AB51">
        <v>42.843147916879701</v>
      </c>
      <c r="AC51" s="1">
        <v>39.773320306207701</v>
      </c>
      <c r="AD51">
        <v>35</v>
      </c>
      <c r="AE51">
        <v>1.71942916548747E-3</v>
      </c>
      <c r="AF51">
        <v>1.2424347128719101E-3</v>
      </c>
      <c r="AG51">
        <v>5.0000000000000001E-3</v>
      </c>
      <c r="AH51">
        <v>31465.463800828999</v>
      </c>
      <c r="AI51">
        <v>29627.261069897399</v>
      </c>
      <c r="AJ51">
        <v>27375</v>
      </c>
      <c r="AK51">
        <v>296.60160000000002</v>
      </c>
      <c r="AL51">
        <v>4173</v>
      </c>
      <c r="AM51">
        <v>14.0693779129984</v>
      </c>
    </row>
    <row r="52" spans="1:39" x14ac:dyDescent="0.25">
      <c r="A52" s="7">
        <v>3</v>
      </c>
      <c r="B52" s="14" t="s">
        <v>67</v>
      </c>
      <c r="C52" s="14">
        <v>160585</v>
      </c>
      <c r="D52" s="14">
        <v>48526</v>
      </c>
      <c r="E52" s="14">
        <v>47.745632722624599</v>
      </c>
      <c r="F52" s="19">
        <v>33</v>
      </c>
      <c r="G52" s="14">
        <v>10</v>
      </c>
      <c r="H52" s="14">
        <v>44.2254729889762</v>
      </c>
      <c r="I52" s="19">
        <v>39.521987784238398</v>
      </c>
      <c r="J52" s="14">
        <v>35</v>
      </c>
      <c r="K52" s="14">
        <v>1.8822666439795601E-3</v>
      </c>
      <c r="L52" s="14">
        <v>1.22678212821484E-3</v>
      </c>
      <c r="M52" s="14">
        <v>5.0000000000000001E-3</v>
      </c>
      <c r="N52" s="14">
        <v>28689.464902229902</v>
      </c>
      <c r="O52" s="14">
        <v>26950.531799849199</v>
      </c>
      <c r="P52" s="14">
        <v>25675</v>
      </c>
      <c r="Q52" s="14">
        <v>66.724977777777795</v>
      </c>
      <c r="R52" s="14">
        <v>2347</v>
      </c>
      <c r="S52" s="14">
        <v>35.174234269758699</v>
      </c>
      <c r="T52" s="8"/>
      <c r="U52" s="8"/>
      <c r="V52" t="s">
        <v>76</v>
      </c>
      <c r="W52">
        <v>65452</v>
      </c>
      <c r="X52">
        <v>22007</v>
      </c>
      <c r="Y52">
        <v>41.258309591642899</v>
      </c>
      <c r="Z52" s="1">
        <v>32</v>
      </c>
      <c r="AA52">
        <v>22</v>
      </c>
      <c r="AB52">
        <v>37.976974831681602</v>
      </c>
      <c r="AC52" s="1">
        <v>36.492627381039</v>
      </c>
      <c r="AD52">
        <v>35</v>
      </c>
      <c r="AE52">
        <v>1.2808928457731801E-3</v>
      </c>
      <c r="AF52">
        <v>1.0459240436554E-3</v>
      </c>
      <c r="AG52">
        <v>5.0000000000000001E-3</v>
      </c>
      <c r="AH52">
        <v>34654.733413065798</v>
      </c>
      <c r="AI52">
        <v>32450.1242090794</v>
      </c>
      <c r="AJ52">
        <v>29875</v>
      </c>
      <c r="AK52">
        <v>218.00391111111099</v>
      </c>
      <c r="AL52">
        <v>1053</v>
      </c>
      <c r="AM52">
        <v>4.8301885715404103</v>
      </c>
    </row>
    <row r="53" spans="1:39" x14ac:dyDescent="0.25">
      <c r="A53" s="7">
        <v>4</v>
      </c>
      <c r="B53" s="14" t="s">
        <v>68</v>
      </c>
      <c r="C53" s="14">
        <v>152583</v>
      </c>
      <c r="D53" s="14">
        <v>41752</v>
      </c>
      <c r="E53" s="14">
        <v>47.833836858006002</v>
      </c>
      <c r="F53" s="19">
        <v>32</v>
      </c>
      <c r="G53" s="14">
        <v>10</v>
      </c>
      <c r="H53" s="14">
        <v>44.172139208858503</v>
      </c>
      <c r="I53" s="19">
        <v>39.516639027936897</v>
      </c>
      <c r="J53" s="14">
        <v>35</v>
      </c>
      <c r="K53" s="14">
        <v>1.8991898551510599E-3</v>
      </c>
      <c r="L53" s="14">
        <v>1.22645009458065E-3</v>
      </c>
      <c r="M53" s="14">
        <v>5.0000000000000001E-3</v>
      </c>
      <c r="N53" s="14">
        <v>28575.2345226094</v>
      </c>
      <c r="O53" s="14">
        <v>26882.5752944091</v>
      </c>
      <c r="P53" s="14">
        <v>23475</v>
      </c>
      <c r="Q53" s="14">
        <v>55.429688888888897</v>
      </c>
      <c r="R53" s="14">
        <v>2317</v>
      </c>
      <c r="S53" s="14">
        <v>41.800703674244403</v>
      </c>
      <c r="T53" s="8"/>
      <c r="U53" s="8"/>
      <c r="V53" t="s">
        <v>77</v>
      </c>
      <c r="W53">
        <v>72143</v>
      </c>
      <c r="X53">
        <v>19004</v>
      </c>
      <c r="Y53">
        <v>43.520884520884501</v>
      </c>
      <c r="Z53" s="1">
        <v>34</v>
      </c>
      <c r="AA53">
        <v>29</v>
      </c>
      <c r="AB53">
        <v>38.745373857110103</v>
      </c>
      <c r="AC53" s="1">
        <v>37.006405001091302</v>
      </c>
      <c r="AD53">
        <v>35</v>
      </c>
      <c r="AE53">
        <v>1.3342157836871099E-3</v>
      </c>
      <c r="AF53">
        <v>1.07558237314224E-3</v>
      </c>
      <c r="AG53">
        <v>5.0000000000000001E-3</v>
      </c>
      <c r="AH53">
        <v>35178.498376921198</v>
      </c>
      <c r="AI53">
        <v>32973.914488473398</v>
      </c>
      <c r="AJ53">
        <v>24825</v>
      </c>
      <c r="AK53">
        <v>164.6592</v>
      </c>
      <c r="AL53">
        <v>1221</v>
      </c>
      <c r="AM53">
        <v>7.4153159981343304</v>
      </c>
    </row>
    <row r="54" spans="1:39" x14ac:dyDescent="0.25">
      <c r="A54" s="7">
        <v>5</v>
      </c>
      <c r="B54" s="14" t="s">
        <v>69</v>
      </c>
      <c r="C54" s="14">
        <v>45191</v>
      </c>
      <c r="D54" s="14">
        <v>18783</v>
      </c>
      <c r="E54" s="14">
        <v>26.408000000000001</v>
      </c>
      <c r="F54" s="19">
        <v>21</v>
      </c>
      <c r="G54" s="14">
        <v>10</v>
      </c>
      <c r="H54" s="14">
        <v>33.077913689211897</v>
      </c>
      <c r="I54" s="19">
        <v>30.2362148293663</v>
      </c>
      <c r="J54" s="14">
        <v>25</v>
      </c>
      <c r="K54" s="14">
        <v>1.0034963168054801E-3</v>
      </c>
      <c r="L54" s="14">
        <v>7.1803358569741296E-4</v>
      </c>
      <c r="M54" s="14">
        <v>5.0000000000000001E-3</v>
      </c>
      <c r="N54" s="14">
        <v>30739.295849769202</v>
      </c>
      <c r="O54" s="14">
        <v>28599.9003221862</v>
      </c>
      <c r="P54" s="14">
        <v>26475</v>
      </c>
      <c r="Q54" s="14">
        <v>26.2912</v>
      </c>
      <c r="R54" s="14">
        <v>1000</v>
      </c>
      <c r="S54" s="14">
        <v>38.035540408958099</v>
      </c>
      <c r="T54" s="8"/>
      <c r="U54" s="8"/>
      <c r="V54" t="s">
        <v>78</v>
      </c>
      <c r="W54">
        <v>213500</v>
      </c>
      <c r="X54">
        <v>87878</v>
      </c>
      <c r="Y54">
        <v>24.880570409982202</v>
      </c>
      <c r="Z54" s="1">
        <v>21</v>
      </c>
      <c r="AA54">
        <v>10</v>
      </c>
      <c r="AB54">
        <v>31.001751621082299</v>
      </c>
      <c r="AC54" s="1">
        <v>29.578609874515401</v>
      </c>
      <c r="AD54">
        <v>25</v>
      </c>
      <c r="AE54">
        <v>8.4202413407955304E-4</v>
      </c>
      <c r="AF54">
        <v>6.8714026808738696E-4</v>
      </c>
      <c r="AG54">
        <v>5.0000000000000001E-3</v>
      </c>
      <c r="AH54">
        <v>33056.2238393855</v>
      </c>
      <c r="AI54">
        <v>30824.7782705969</v>
      </c>
      <c r="AJ54">
        <v>30025</v>
      </c>
      <c r="AK54">
        <v>414.35306666666702</v>
      </c>
      <c r="AL54">
        <v>5049</v>
      </c>
      <c r="AM54">
        <v>12.185260364108199</v>
      </c>
    </row>
    <row r="55" spans="1:39" x14ac:dyDescent="0.25">
      <c r="A55" s="7">
        <v>6</v>
      </c>
      <c r="B55" s="14" t="s">
        <v>70</v>
      </c>
      <c r="C55" s="14">
        <v>117778</v>
      </c>
      <c r="D55" s="14">
        <v>55204</v>
      </c>
      <c r="E55" s="14">
        <v>25.395292207792199</v>
      </c>
      <c r="F55" s="19">
        <v>20</v>
      </c>
      <c r="G55" s="14">
        <v>10</v>
      </c>
      <c r="H55" s="14">
        <v>32.782297646190898</v>
      </c>
      <c r="I55" s="19">
        <v>30.295560663721702</v>
      </c>
      <c r="J55" s="14">
        <v>25</v>
      </c>
      <c r="K55" s="14">
        <v>9.7668030784044406E-4</v>
      </c>
      <c r="L55" s="14">
        <v>7.2085523717105402E-4</v>
      </c>
      <c r="M55" s="14">
        <v>5.0000000000000001E-3</v>
      </c>
      <c r="N55" s="14">
        <v>30268.889304877499</v>
      </c>
      <c r="O55" s="14">
        <v>28213.2951301865</v>
      </c>
      <c r="P55" s="14">
        <v>24275</v>
      </c>
      <c r="Q55" s="14">
        <v>67.913955555555503</v>
      </c>
      <c r="R55" s="14">
        <v>2464</v>
      </c>
      <c r="S55" s="14">
        <v>36.281202881554698</v>
      </c>
      <c r="T55" s="8"/>
      <c r="U55" s="8"/>
      <c r="V55" t="s">
        <v>79</v>
      </c>
      <c r="W55">
        <v>35619</v>
      </c>
      <c r="X55">
        <v>24118</v>
      </c>
      <c r="Y55">
        <v>21.7</v>
      </c>
      <c r="Z55" s="1">
        <v>17</v>
      </c>
      <c r="AA55">
        <v>10</v>
      </c>
      <c r="AB55">
        <v>28.549405234775101</v>
      </c>
      <c r="AC55" s="1">
        <v>26.326357575071199</v>
      </c>
      <c r="AD55">
        <v>25</v>
      </c>
      <c r="AE55">
        <v>7.2725416170819695E-4</v>
      </c>
      <c r="AF55">
        <v>5.4434148706495797E-4</v>
      </c>
      <c r="AG55">
        <v>5.0000000000000001E-3</v>
      </c>
      <c r="AH55">
        <v>35563.139748243098</v>
      </c>
      <c r="AI55">
        <v>31652.701958440499</v>
      </c>
      <c r="AJ55">
        <v>33725</v>
      </c>
      <c r="AK55">
        <v>257.25155555555602</v>
      </c>
      <c r="AL55">
        <v>530</v>
      </c>
      <c r="AM55">
        <v>2.0602402145068601</v>
      </c>
    </row>
    <row r="56" spans="1:39" x14ac:dyDescent="0.25">
      <c r="A56" s="7">
        <v>7</v>
      </c>
      <c r="B56" s="14" t="s">
        <v>71</v>
      </c>
      <c r="C56" s="14">
        <v>50476</v>
      </c>
      <c r="D56" s="14">
        <v>22068</v>
      </c>
      <c r="E56" s="14">
        <v>25.685352622061501</v>
      </c>
      <c r="F56" s="19">
        <v>19</v>
      </c>
      <c r="G56" s="14">
        <v>10</v>
      </c>
      <c r="H56" s="14">
        <v>32.612088340817301</v>
      </c>
      <c r="I56" s="19">
        <v>29.717529234784902</v>
      </c>
      <c r="J56" s="14">
        <v>25</v>
      </c>
      <c r="K56" s="14">
        <v>9.7979386844011199E-4</v>
      </c>
      <c r="L56" s="14">
        <v>6.9361456409096703E-4</v>
      </c>
      <c r="M56" s="14">
        <v>5.0000000000000001E-3</v>
      </c>
      <c r="N56" s="14">
        <v>30592.806578314801</v>
      </c>
      <c r="O56" s="14">
        <v>28371.794638283602</v>
      </c>
      <c r="P56" s="14">
        <v>27625</v>
      </c>
      <c r="Q56" s="14">
        <v>31.103999999999999</v>
      </c>
      <c r="R56" s="14">
        <v>1106</v>
      </c>
      <c r="S56" s="14">
        <v>35.558127572016502</v>
      </c>
      <c r="T56" s="8"/>
      <c r="U56" s="8"/>
      <c r="V56" t="s">
        <v>80</v>
      </c>
      <c r="W56">
        <v>32426</v>
      </c>
      <c r="X56">
        <v>19793</v>
      </c>
      <c r="Y56">
        <v>21.2319327731092</v>
      </c>
      <c r="Z56" s="1">
        <v>17</v>
      </c>
      <c r="AA56">
        <v>10</v>
      </c>
      <c r="AB56">
        <v>28.581165372764399</v>
      </c>
      <c r="AC56" s="1">
        <v>27.014164315496</v>
      </c>
      <c r="AD56">
        <v>25</v>
      </c>
      <c r="AE56">
        <v>7.1691913891307798E-4</v>
      </c>
      <c r="AF56">
        <v>5.7315614856779599E-4</v>
      </c>
      <c r="AG56">
        <v>5.0000000000000001E-3</v>
      </c>
      <c r="AH56">
        <v>33674.232857990202</v>
      </c>
      <c r="AI56">
        <v>30896.229619215701</v>
      </c>
      <c r="AJ56">
        <v>25875</v>
      </c>
      <c r="AK56">
        <v>113.018311111111</v>
      </c>
      <c r="AL56">
        <v>595</v>
      </c>
      <c r="AM56">
        <v>5.2646336168927599</v>
      </c>
    </row>
    <row r="57" spans="1:39" x14ac:dyDescent="0.25">
      <c r="A57" s="7">
        <v>8</v>
      </c>
      <c r="B57" s="14" t="s">
        <v>72</v>
      </c>
      <c r="C57" s="14">
        <v>116790</v>
      </c>
      <c r="D57" s="14">
        <v>70919</v>
      </c>
      <c r="E57" s="14">
        <v>24.399468085106399</v>
      </c>
      <c r="F57" s="19">
        <v>18</v>
      </c>
      <c r="G57" s="14">
        <v>10</v>
      </c>
      <c r="H57" s="14">
        <v>32.439212425548199</v>
      </c>
      <c r="I57" s="19">
        <v>29.001825163973699</v>
      </c>
      <c r="J57" s="14">
        <v>25</v>
      </c>
      <c r="K57" s="14">
        <v>9.8084647732016501E-4</v>
      </c>
      <c r="L57" s="14">
        <v>6.6060323864221596E-4</v>
      </c>
      <c r="M57" s="14">
        <v>5.0000000000000001E-3</v>
      </c>
      <c r="N57" s="14">
        <v>29589.6171444955</v>
      </c>
      <c r="O57" s="14">
        <v>27337.058804962398</v>
      </c>
      <c r="P57" s="14">
        <v>24975</v>
      </c>
      <c r="Q57" s="14">
        <v>66.892799999999994</v>
      </c>
      <c r="R57" s="14">
        <v>1880</v>
      </c>
      <c r="S57" s="14">
        <v>28.104668962877899</v>
      </c>
      <c r="T57" s="8"/>
      <c r="U57" s="8"/>
      <c r="V57" t="s">
        <v>81</v>
      </c>
      <c r="W57">
        <v>21406</v>
      </c>
      <c r="X57">
        <v>14716</v>
      </c>
      <c r="Y57">
        <v>22.677966101694899</v>
      </c>
      <c r="Z57" s="1">
        <v>18</v>
      </c>
      <c r="AA57">
        <v>10</v>
      </c>
      <c r="AB57">
        <v>29.878175383326099</v>
      </c>
      <c r="AC57" s="1">
        <v>27.483652480758099</v>
      </c>
      <c r="AD57">
        <v>25</v>
      </c>
      <c r="AE57">
        <v>7.9858591982889598E-4</v>
      </c>
      <c r="AF57">
        <v>5.9325140882283403E-4</v>
      </c>
      <c r="AG57">
        <v>5.0000000000000001E-3</v>
      </c>
      <c r="AH57">
        <v>32951.7575250714</v>
      </c>
      <c r="AI57">
        <v>29770.0915561088</v>
      </c>
      <c r="AJ57">
        <v>23575</v>
      </c>
      <c r="AK57">
        <v>133.66328888888901</v>
      </c>
      <c r="AL57">
        <v>295</v>
      </c>
      <c r="AM57">
        <v>2.2070383158477198</v>
      </c>
    </row>
    <row r="58" spans="1:39" x14ac:dyDescent="0.25">
      <c r="A58" s="7">
        <v>9</v>
      </c>
      <c r="B58" s="14" t="s">
        <v>73</v>
      </c>
      <c r="C58" s="14">
        <v>200496</v>
      </c>
      <c r="D58" s="14">
        <v>79228</v>
      </c>
      <c r="E58" s="14">
        <v>29.8322263222632</v>
      </c>
      <c r="F58" s="19">
        <v>21</v>
      </c>
      <c r="G58" s="14">
        <v>10</v>
      </c>
      <c r="H58" s="14">
        <v>35.497220014216403</v>
      </c>
      <c r="I58" s="19">
        <v>31.507029981394901</v>
      </c>
      <c r="J58" s="14">
        <v>25</v>
      </c>
      <c r="K58" s="14">
        <v>1.1954883005838E-3</v>
      </c>
      <c r="L58" s="14">
        <v>7.7965921051800205E-4</v>
      </c>
      <c r="M58" s="14">
        <v>5.0000000000000001E-3</v>
      </c>
      <c r="N58" s="14">
        <v>29872.413430246099</v>
      </c>
      <c r="O58" s="14">
        <v>27565.135801564498</v>
      </c>
      <c r="P58" s="14">
        <v>24025</v>
      </c>
      <c r="Q58" s="14">
        <v>86.274844444444497</v>
      </c>
      <c r="R58" s="14">
        <v>4065</v>
      </c>
      <c r="S58" s="14">
        <v>47.116862698229497</v>
      </c>
      <c r="T58" s="8"/>
      <c r="U58" s="8"/>
      <c r="V58" t="s">
        <v>82</v>
      </c>
      <c r="W58">
        <v>59787</v>
      </c>
      <c r="X58">
        <v>36220</v>
      </c>
      <c r="Y58">
        <v>23.379960317460299</v>
      </c>
      <c r="Z58" s="1">
        <v>19</v>
      </c>
      <c r="AA58">
        <v>10</v>
      </c>
      <c r="AB58">
        <v>30.282565947079298</v>
      </c>
      <c r="AC58" s="1">
        <v>28.369022984150199</v>
      </c>
      <c r="AD58">
        <v>25</v>
      </c>
      <c r="AE58">
        <v>8.0886897586788695E-4</v>
      </c>
      <c r="AF58">
        <v>6.3209995776414903E-4</v>
      </c>
      <c r="AG58">
        <v>5.0000000000000001E-3</v>
      </c>
      <c r="AH58">
        <v>32567.7795245624</v>
      </c>
      <c r="AI58">
        <v>30290.1137247021</v>
      </c>
      <c r="AJ58">
        <v>25825</v>
      </c>
      <c r="AK58">
        <v>191.877688888889</v>
      </c>
      <c r="AL58">
        <v>1008</v>
      </c>
      <c r="AM58">
        <v>5.2533465763375196</v>
      </c>
    </row>
    <row r="59" spans="1:39" ht="15.75" thickBot="1" x14ac:dyDescent="0.3">
      <c r="A59" s="10">
        <v>10</v>
      </c>
      <c r="B59" s="11"/>
      <c r="C59" s="11"/>
      <c r="D59" s="11"/>
      <c r="E59" s="11"/>
      <c r="F59" s="18"/>
      <c r="G59" s="11"/>
      <c r="H59" s="11"/>
      <c r="I59" s="18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0"/>
      <c r="W59" s="11"/>
      <c r="X59" s="11"/>
      <c r="Y59" s="11"/>
      <c r="Z59" s="18"/>
      <c r="AA59" s="11"/>
      <c r="AB59" s="11"/>
      <c r="AC59" s="18"/>
      <c r="AD59" s="11"/>
      <c r="AE59" s="11"/>
      <c r="AF59" s="11"/>
      <c r="AG59" s="11"/>
      <c r="AH59" s="11"/>
      <c r="AI59" s="11"/>
      <c r="AJ59" s="11"/>
      <c r="AK59" s="11"/>
      <c r="AL59" s="11"/>
      <c r="AM59" s="12"/>
    </row>
    <row r="60" spans="1:39" x14ac:dyDescent="0.25">
      <c r="C60">
        <f t="shared" ref="C60" si="34">AVERAGE(C50:C59)</f>
        <v>169253.77777777778</v>
      </c>
      <c r="D60">
        <f t="shared" ref="D60" si="35">AVERAGE(D50:D59)</f>
        <v>56442.222222222219</v>
      </c>
      <c r="E60">
        <f t="shared" ref="E60" si="36">AVERAGE(E50:E59)</f>
        <v>41.721453854136357</v>
      </c>
      <c r="F60" s="1">
        <f t="shared" ref="F60" si="37">AVERAGE(F50:F59)</f>
        <v>24.444444444444443</v>
      </c>
      <c r="G60" s="2">
        <f t="shared" ref="G60" si="38">AVERAGE(G50:G59)</f>
        <v>10</v>
      </c>
      <c r="H60">
        <f t="shared" ref="H60" si="39">AVERAGE(H50:H59)</f>
        <v>39.143740644214773</v>
      </c>
      <c r="I60" s="1">
        <f t="shared" ref="I60" si="40">AVERAGE(I50:I59)</f>
        <v>33.766901805051887</v>
      </c>
      <c r="J60">
        <f t="shared" ref="J60" si="41">AVERAGE(J50:J59)</f>
        <v>28.333333333333332</v>
      </c>
      <c r="W60">
        <f t="shared" ref="W60" si="42">AVERAGE(W50:W59)</f>
        <v>92188.222222222219</v>
      </c>
      <c r="X60">
        <f t="shared" ref="X60" si="43">AVERAGE(X50:X59)</f>
        <v>35345.111111111109</v>
      </c>
      <c r="Y60">
        <f t="shared" ref="Y60" si="44">AVERAGE(Y50:Y59)</f>
        <v>32.460571367105871</v>
      </c>
      <c r="Z60" s="1">
        <f t="shared" ref="Z60" si="45">AVERAGE(Z50:Z59)</f>
        <v>25.444444444444443</v>
      </c>
      <c r="AA60" s="2">
        <f t="shared" ref="AA60" si="46">AVERAGE(AA50:AA59)</f>
        <v>14</v>
      </c>
      <c r="AB60">
        <f t="shared" ref="AB60" si="47">AVERAGE(AB50:AB59)</f>
        <v>34.223655642610808</v>
      </c>
      <c r="AC60" s="1">
        <f t="shared" ref="AC60" si="48">AVERAGE(AC50:AC59)</f>
        <v>32.343439484106597</v>
      </c>
      <c r="AD60">
        <f t="shared" ref="AD60" si="49">AVERAGE(AD50:AD59)</f>
        <v>29.444444444444443</v>
      </c>
      <c r="AE60">
        <f t="shared" ref="AE60" si="50">AVERAGE(AE50:AE59)</f>
        <v>1.0722200278480991E-3</v>
      </c>
      <c r="AF60">
        <f t="shared" ref="AF60" si="51">AVERAGE(AF50:AF59)</f>
        <v>8.4348771826674596E-4</v>
      </c>
      <c r="AG60">
        <f t="shared" ref="AG60" si="52">AVERAGE(AG50:AG59)</f>
        <v>5.0000000000000001E-3</v>
      </c>
      <c r="AH60">
        <f t="shared" ref="AH60" si="53">AVERAGE(AH50:AH59)</f>
        <v>33462.424327263587</v>
      </c>
      <c r="AI60">
        <f t="shared" ref="AI60" si="54">AVERAGE(AI50:AI59)</f>
        <v>30981.551168840826</v>
      </c>
      <c r="AJ60">
        <f t="shared" ref="AJ60" si="55">AVERAGE(AJ50:AJ59)</f>
        <v>27830.555555555555</v>
      </c>
      <c r="AK60">
        <f t="shared" ref="AK60" si="56">AVERAGE(AK50:AK59)</f>
        <v>207.46398024691365</v>
      </c>
      <c r="AL60">
        <f t="shared" ref="AL60" si="57">AVERAGE(AL50:AL59)</f>
        <v>1619</v>
      </c>
      <c r="AM60">
        <f t="shared" ref="AM60" si="58">AVERAGE(AM50:AM59)</f>
        <v>6.8452494080123705</v>
      </c>
    </row>
    <row r="61" spans="1:39" ht="21" x14ac:dyDescent="0.35">
      <c r="B61" s="3" t="s">
        <v>113</v>
      </c>
      <c r="V61" s="3" t="s">
        <v>115</v>
      </c>
    </row>
    <row r="62" spans="1:39" x14ac:dyDescent="0.25"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10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t="s">
        <v>17</v>
      </c>
      <c r="V62" t="s">
        <v>0</v>
      </c>
      <c r="W62" t="s">
        <v>1</v>
      </c>
      <c r="X62" t="s">
        <v>2</v>
      </c>
      <c r="Y62" t="s">
        <v>3</v>
      </c>
      <c r="Z62" t="s">
        <v>4</v>
      </c>
      <c r="AA62" t="s">
        <v>5</v>
      </c>
      <c r="AB62" t="s">
        <v>6</v>
      </c>
      <c r="AC62" t="s">
        <v>7</v>
      </c>
      <c r="AD62" t="s">
        <v>8</v>
      </c>
      <c r="AE62" t="s">
        <v>9</v>
      </c>
      <c r="AF62" t="s">
        <v>10</v>
      </c>
      <c r="AG62" t="s">
        <v>11</v>
      </c>
      <c r="AH62" t="s">
        <v>12</v>
      </c>
      <c r="AI62" t="s">
        <v>13</v>
      </c>
      <c r="AJ62" t="s">
        <v>14</v>
      </c>
      <c r="AK62" t="s">
        <v>15</v>
      </c>
      <c r="AL62" t="s">
        <v>16</v>
      </c>
      <c r="AM62" t="s">
        <v>17</v>
      </c>
    </row>
    <row r="63" spans="1:39" x14ac:dyDescent="0.25">
      <c r="A63" s="7">
        <v>1</v>
      </c>
      <c r="B63" t="s">
        <v>103</v>
      </c>
      <c r="C63">
        <v>57650</v>
      </c>
      <c r="D63">
        <v>10000</v>
      </c>
      <c r="E63">
        <v>51.569264069264101</v>
      </c>
      <c r="F63">
        <v>23</v>
      </c>
      <c r="G63">
        <v>10</v>
      </c>
      <c r="H63">
        <v>62.716845590433202</v>
      </c>
      <c r="I63">
        <v>46.468373434049397</v>
      </c>
      <c r="J63">
        <v>35</v>
      </c>
      <c r="K63">
        <v>5.4499002859415696E-3</v>
      </c>
      <c r="L63">
        <v>1.6959180295467401E-3</v>
      </c>
      <c r="M63">
        <v>5.0000000000000001E-3</v>
      </c>
      <c r="N63">
        <v>14264.821018267899</v>
      </c>
      <c r="O63">
        <v>12474.0597149198</v>
      </c>
      <c r="P63">
        <v>8875</v>
      </c>
      <c r="Q63">
        <v>80.955733333333299</v>
      </c>
      <c r="R63">
        <v>924</v>
      </c>
      <c r="S63">
        <v>11.4136449878782</v>
      </c>
      <c r="V63" t="s">
        <v>116</v>
      </c>
      <c r="W63">
        <v>3714</v>
      </c>
      <c r="X63">
        <v>1718</v>
      </c>
      <c r="Y63">
        <v>23.761904761904798</v>
      </c>
      <c r="Z63">
        <v>20</v>
      </c>
      <c r="AA63">
        <v>14</v>
      </c>
      <c r="AB63">
        <v>37.190443748581501</v>
      </c>
      <c r="AC63">
        <v>37.267154917272101</v>
      </c>
      <c r="AD63">
        <v>35</v>
      </c>
      <c r="AE63">
        <v>1.26751077230133E-3</v>
      </c>
      <c r="AF63">
        <v>1.0908601872623E-3</v>
      </c>
      <c r="AG63">
        <v>5.0000000000000001E-3</v>
      </c>
      <c r="AH63">
        <v>27056.643438070001</v>
      </c>
      <c r="AI63">
        <v>20485.215041193998</v>
      </c>
      <c r="AJ63">
        <v>16475</v>
      </c>
      <c r="AK63">
        <v>42.837333333333298</v>
      </c>
      <c r="AL63">
        <v>84</v>
      </c>
      <c r="AM63">
        <v>1.9609063745019899</v>
      </c>
    </row>
    <row r="64" spans="1:39" x14ac:dyDescent="0.25">
      <c r="A64" s="7">
        <v>2</v>
      </c>
      <c r="B64" t="s">
        <v>104</v>
      </c>
      <c r="C64">
        <v>97063</v>
      </c>
      <c r="D64">
        <v>11786</v>
      </c>
      <c r="E64">
        <v>58.811724137931002</v>
      </c>
      <c r="F64">
        <v>24</v>
      </c>
      <c r="G64">
        <v>10</v>
      </c>
      <c r="H64">
        <v>65.480064282312398</v>
      </c>
      <c r="I64">
        <v>47.981567382683203</v>
      </c>
      <c r="J64">
        <v>35</v>
      </c>
      <c r="K64">
        <v>5.67456314893221E-3</v>
      </c>
      <c r="L64">
        <v>1.8081678584218001E-3</v>
      </c>
      <c r="M64">
        <v>5.0000000000000001E-3</v>
      </c>
      <c r="N64">
        <v>14632.4469043712</v>
      </c>
      <c r="O64">
        <v>12868.2418928037</v>
      </c>
      <c r="P64">
        <v>9925</v>
      </c>
      <c r="Q64">
        <v>121.375288888889</v>
      </c>
      <c r="R64">
        <v>1450</v>
      </c>
      <c r="S64">
        <v>11.9464185278058</v>
      </c>
      <c r="V64" t="s">
        <v>117</v>
      </c>
      <c r="W64">
        <v>5921</v>
      </c>
      <c r="X64">
        <v>3560</v>
      </c>
      <c r="Y64">
        <v>20.1794871794872</v>
      </c>
      <c r="Z64">
        <v>16</v>
      </c>
      <c r="AA64">
        <v>10</v>
      </c>
      <c r="AB64">
        <v>34.4689961181369</v>
      </c>
      <c r="AC64">
        <v>31.826824736766898</v>
      </c>
      <c r="AD64">
        <v>35</v>
      </c>
      <c r="AE64">
        <v>1.1117379035195699E-3</v>
      </c>
      <c r="AF64">
        <v>7.9556653499603298E-4</v>
      </c>
      <c r="AG64">
        <v>5.0000000000000001E-3</v>
      </c>
      <c r="AH64">
        <v>25991.404885109299</v>
      </c>
      <c r="AI64">
        <v>20819.008014650299</v>
      </c>
      <c r="AJ64">
        <v>14325</v>
      </c>
      <c r="AK64">
        <v>93.974755555555504</v>
      </c>
      <c r="AL64">
        <v>117</v>
      </c>
      <c r="AM64">
        <v>1.2450152097584599</v>
      </c>
    </row>
    <row r="65" spans="1:39" x14ac:dyDescent="0.25">
      <c r="A65" s="7">
        <v>3</v>
      </c>
      <c r="B65" t="s">
        <v>105</v>
      </c>
      <c r="C65">
        <v>70105</v>
      </c>
      <c r="D65">
        <v>8776</v>
      </c>
      <c r="E65">
        <v>78.026717557251899</v>
      </c>
      <c r="F65">
        <v>33</v>
      </c>
      <c r="G65">
        <v>15</v>
      </c>
      <c r="H65">
        <v>85.416682973599507</v>
      </c>
      <c r="I65">
        <v>64.243313834555806</v>
      </c>
      <c r="J65">
        <v>45</v>
      </c>
      <c r="K65">
        <v>8.7820680430106806E-3</v>
      </c>
      <c r="L65">
        <v>3.24149807691574E-3</v>
      </c>
      <c r="M65">
        <v>5.0000000000000001E-3</v>
      </c>
      <c r="N65">
        <v>11366.9502172346</v>
      </c>
      <c r="O65">
        <v>10398.2757716907</v>
      </c>
      <c r="P65">
        <v>9775</v>
      </c>
      <c r="Q65">
        <v>65.740799999999993</v>
      </c>
      <c r="R65">
        <v>786</v>
      </c>
      <c r="S65">
        <v>11.9560455607477</v>
      </c>
      <c r="V65" t="s">
        <v>118</v>
      </c>
      <c r="W65">
        <v>7490</v>
      </c>
      <c r="X65">
        <v>3099</v>
      </c>
      <c r="Y65">
        <v>22.517948717948698</v>
      </c>
      <c r="Z65">
        <v>17</v>
      </c>
      <c r="AA65">
        <v>12</v>
      </c>
      <c r="AB65">
        <v>43.064278686544398</v>
      </c>
      <c r="AC65">
        <v>38.308856247610699</v>
      </c>
      <c r="AD65">
        <v>35</v>
      </c>
      <c r="AE65">
        <v>1.66688657182914E-3</v>
      </c>
      <c r="AF65">
        <v>1.15262557864189E-3</v>
      </c>
      <c r="AG65">
        <v>5.0000000000000001E-3</v>
      </c>
      <c r="AH65">
        <v>15743.612707517599</v>
      </c>
      <c r="AI65">
        <v>14274.736962797801</v>
      </c>
      <c r="AJ65">
        <v>13225</v>
      </c>
      <c r="AK65">
        <v>71.264711111111097</v>
      </c>
      <c r="AL65">
        <v>195</v>
      </c>
      <c r="AM65">
        <v>2.7362771413746301</v>
      </c>
    </row>
    <row r="66" spans="1:39" x14ac:dyDescent="0.25">
      <c r="A66" s="7">
        <v>4</v>
      </c>
      <c r="B66" t="s">
        <v>106</v>
      </c>
      <c r="C66">
        <v>98299</v>
      </c>
      <c r="D66">
        <v>12761</v>
      </c>
      <c r="E66">
        <v>78.116894977168997</v>
      </c>
      <c r="F66">
        <v>28</v>
      </c>
      <c r="G66">
        <v>10</v>
      </c>
      <c r="H66">
        <v>81.757994074505206</v>
      </c>
      <c r="I66">
        <v>59.289843392624398</v>
      </c>
      <c r="J66">
        <v>45</v>
      </c>
      <c r="K66">
        <v>9.3378457000756407E-3</v>
      </c>
      <c r="L66">
        <v>2.76089879870415E-3</v>
      </c>
      <c r="M66">
        <v>5.0000000000000001E-3</v>
      </c>
      <c r="N66">
        <v>11162.757358156799</v>
      </c>
      <c r="O66">
        <v>10061.2334108827</v>
      </c>
      <c r="P66">
        <v>9575</v>
      </c>
      <c r="Q66">
        <v>89.617066666666702</v>
      </c>
      <c r="R66">
        <v>1095</v>
      </c>
      <c r="S66">
        <v>12.2186547800419</v>
      </c>
      <c r="V66" t="s">
        <v>119</v>
      </c>
      <c r="W66">
        <v>2970</v>
      </c>
      <c r="X66">
        <v>1253</v>
      </c>
      <c r="Y66">
        <v>28.616666666666699</v>
      </c>
      <c r="Z66">
        <v>20.5</v>
      </c>
      <c r="AA66">
        <v>13</v>
      </c>
      <c r="AB66">
        <v>48.796150210564001</v>
      </c>
      <c r="AC66">
        <v>42.983238707468097</v>
      </c>
      <c r="AD66">
        <v>35</v>
      </c>
      <c r="AE66">
        <v>2.2219272064666002E-3</v>
      </c>
      <c r="AF66">
        <v>1.4512964963912999E-3</v>
      </c>
      <c r="AG66">
        <v>5.0000000000000001E-3</v>
      </c>
      <c r="AH66">
        <v>15791.252237819999</v>
      </c>
      <c r="AI66">
        <v>13724.9864978934</v>
      </c>
      <c r="AJ66">
        <v>9075</v>
      </c>
      <c r="AK66">
        <v>25.719466666666701</v>
      </c>
      <c r="AL66">
        <v>60</v>
      </c>
      <c r="AM66">
        <v>2.33286330457863</v>
      </c>
    </row>
    <row r="67" spans="1:39" x14ac:dyDescent="0.25">
      <c r="A67" s="7">
        <v>5</v>
      </c>
      <c r="B67" t="s">
        <v>107</v>
      </c>
      <c r="C67">
        <v>299112</v>
      </c>
      <c r="D67">
        <v>14124</v>
      </c>
      <c r="E67">
        <v>307.76241900647898</v>
      </c>
      <c r="F67">
        <v>55</v>
      </c>
      <c r="G67">
        <v>10</v>
      </c>
      <c r="H67">
        <v>129.69076147738301</v>
      </c>
      <c r="I67">
        <v>75.565623380914502</v>
      </c>
      <c r="J67">
        <v>65</v>
      </c>
      <c r="K67">
        <v>2.9818705655695599E-2</v>
      </c>
      <c r="L67">
        <v>4.4847544640302696E-3</v>
      </c>
      <c r="M67">
        <v>5.0000000000000001E-3</v>
      </c>
      <c r="N67">
        <v>12001.028821706699</v>
      </c>
      <c r="O67">
        <v>11131.557526152401</v>
      </c>
      <c r="P67">
        <v>8925</v>
      </c>
      <c r="Q67">
        <v>99.103288888888898</v>
      </c>
      <c r="R67">
        <v>926</v>
      </c>
      <c r="S67">
        <v>9.34378677420281</v>
      </c>
      <c r="V67" t="s">
        <v>120</v>
      </c>
      <c r="W67">
        <v>4574</v>
      </c>
      <c r="X67">
        <v>2102</v>
      </c>
      <c r="Y67">
        <v>35.314285714285703</v>
      </c>
      <c r="Z67">
        <v>27.5</v>
      </c>
      <c r="AA67">
        <v>10</v>
      </c>
      <c r="AB67">
        <v>47.4180693803821</v>
      </c>
      <c r="AC67">
        <v>44.228793869481599</v>
      </c>
      <c r="AD67">
        <v>35</v>
      </c>
      <c r="AE67">
        <v>2.1216194473845599E-3</v>
      </c>
      <c r="AF67">
        <v>1.53638528436422E-3</v>
      </c>
      <c r="AG67">
        <v>5.0000000000000001E-3</v>
      </c>
      <c r="AH67">
        <v>22667.3849825502</v>
      </c>
      <c r="AI67">
        <v>18289.118065688501</v>
      </c>
      <c r="AJ67">
        <v>9625</v>
      </c>
      <c r="AK67">
        <v>25.235911111111101</v>
      </c>
      <c r="AL67">
        <v>70</v>
      </c>
      <c r="AM67">
        <v>2.7738249549143399</v>
      </c>
    </row>
    <row r="68" spans="1:39" x14ac:dyDescent="0.25">
      <c r="A68" s="7">
        <v>6</v>
      </c>
      <c r="B68" t="s">
        <v>108</v>
      </c>
      <c r="C68">
        <v>477802</v>
      </c>
      <c r="D68">
        <v>28493</v>
      </c>
      <c r="E68">
        <v>304.82021709633602</v>
      </c>
      <c r="F68">
        <v>47</v>
      </c>
      <c r="G68">
        <v>10</v>
      </c>
      <c r="H68">
        <v>128.03495100718899</v>
      </c>
      <c r="I68">
        <v>75.602106396375802</v>
      </c>
      <c r="J68">
        <v>65</v>
      </c>
      <c r="K68">
        <v>3.13345603813482E-2</v>
      </c>
      <c r="L68">
        <v>4.4890844464302096E-3</v>
      </c>
      <c r="M68">
        <v>5.0000000000000001E-3</v>
      </c>
      <c r="N68">
        <v>10986.632280915401</v>
      </c>
      <c r="O68">
        <v>10168.540766502099</v>
      </c>
      <c r="P68">
        <v>9025</v>
      </c>
      <c r="Q68">
        <v>165.43573333333299</v>
      </c>
      <c r="R68">
        <v>1476</v>
      </c>
      <c r="S68">
        <v>8.9218935369061807</v>
      </c>
      <c r="V68" t="s">
        <v>121</v>
      </c>
      <c r="W68">
        <v>7167</v>
      </c>
      <c r="X68">
        <v>2623</v>
      </c>
      <c r="Y68">
        <v>41.688073394495397</v>
      </c>
      <c r="Z68">
        <v>29</v>
      </c>
      <c r="AA68">
        <v>10</v>
      </c>
      <c r="AB68">
        <v>59.4857786582402</v>
      </c>
      <c r="AC68">
        <v>55.196246245176297</v>
      </c>
      <c r="AD68">
        <v>55</v>
      </c>
      <c r="AE68">
        <v>3.3291786302393702E-3</v>
      </c>
      <c r="AF68">
        <v>2.3928141504526101E-3</v>
      </c>
      <c r="AG68">
        <v>5.0000000000000001E-3</v>
      </c>
      <c r="AH68">
        <v>13732.186808521001</v>
      </c>
      <c r="AI68">
        <v>12890.785613808799</v>
      </c>
      <c r="AJ68">
        <v>10775</v>
      </c>
      <c r="AK68">
        <v>22.4056888888889</v>
      </c>
      <c r="AL68">
        <v>109</v>
      </c>
      <c r="AM68">
        <v>4.8648359146883298</v>
      </c>
    </row>
    <row r="69" spans="1:39" x14ac:dyDescent="0.25">
      <c r="A69" s="7">
        <v>7</v>
      </c>
      <c r="B69" t="s">
        <v>109</v>
      </c>
      <c r="C69">
        <v>25566</v>
      </c>
      <c r="D69">
        <v>11614</v>
      </c>
      <c r="E69">
        <v>22.985172981878101</v>
      </c>
      <c r="F69">
        <v>17</v>
      </c>
      <c r="G69">
        <v>10</v>
      </c>
      <c r="H69">
        <v>48.9509289820747</v>
      </c>
      <c r="I69">
        <v>43.069766047369399</v>
      </c>
      <c r="J69">
        <v>35</v>
      </c>
      <c r="K69">
        <v>2.3165421427180002E-3</v>
      </c>
      <c r="L69">
        <v>1.4569173216819799E-3</v>
      </c>
      <c r="M69">
        <v>5.0000000000000001E-3</v>
      </c>
      <c r="N69">
        <v>12875.9863053351</v>
      </c>
      <c r="O69">
        <v>11602.0095852904</v>
      </c>
      <c r="P69">
        <v>10875</v>
      </c>
      <c r="Q69">
        <v>51.276800000000001</v>
      </c>
      <c r="R69">
        <v>607</v>
      </c>
      <c r="S69">
        <v>11.837712181727399</v>
      </c>
      <c r="V69" t="s">
        <v>122</v>
      </c>
      <c r="W69">
        <v>3988</v>
      </c>
      <c r="X69">
        <v>3639</v>
      </c>
      <c r="Y69">
        <v>14.5416666666667</v>
      </c>
      <c r="Z69">
        <v>13</v>
      </c>
      <c r="AA69">
        <v>10</v>
      </c>
      <c r="AB69">
        <v>33.127047744970199</v>
      </c>
      <c r="AC69">
        <v>32.28478383505</v>
      </c>
      <c r="AD69">
        <v>25</v>
      </c>
      <c r="AE69">
        <v>9.5056694218267998E-4</v>
      </c>
      <c r="AF69">
        <v>8.1947747766971605E-4</v>
      </c>
      <c r="AG69">
        <v>5.0000000000000001E-3</v>
      </c>
      <c r="AH69">
        <v>21477.314568185499</v>
      </c>
      <c r="AI69">
        <v>14867.9583128098</v>
      </c>
      <c r="AJ69">
        <v>9075</v>
      </c>
      <c r="AK69">
        <v>42.345244444444397</v>
      </c>
      <c r="AL69">
        <v>24</v>
      </c>
      <c r="AM69">
        <v>0.566769664808222</v>
      </c>
    </row>
    <row r="70" spans="1:39" x14ac:dyDescent="0.25">
      <c r="A70" s="7">
        <v>8</v>
      </c>
      <c r="B70" t="s">
        <v>110</v>
      </c>
      <c r="C70">
        <v>21678</v>
      </c>
      <c r="D70">
        <v>11111</v>
      </c>
      <c r="E70">
        <v>23.072052401746699</v>
      </c>
      <c r="F70">
        <v>16</v>
      </c>
      <c r="G70">
        <v>10</v>
      </c>
      <c r="H70">
        <v>49.817037585727398</v>
      </c>
      <c r="I70">
        <v>42.941804400539397</v>
      </c>
      <c r="J70">
        <v>35</v>
      </c>
      <c r="K70">
        <v>2.4911042306881301E-3</v>
      </c>
      <c r="L70">
        <v>1.4482741385698299E-3</v>
      </c>
      <c r="M70">
        <v>5.0000000000000001E-3</v>
      </c>
      <c r="N70">
        <v>12414.9580379361</v>
      </c>
      <c r="O70">
        <v>11156.1968140882</v>
      </c>
      <c r="P70">
        <v>7775</v>
      </c>
      <c r="Q70">
        <v>42.848711111111101</v>
      </c>
      <c r="R70">
        <v>458</v>
      </c>
      <c r="S70">
        <v>10.6887695831121</v>
      </c>
      <c r="V70" t="s">
        <v>123</v>
      </c>
      <c r="W70">
        <v>4157</v>
      </c>
      <c r="X70">
        <v>3571</v>
      </c>
      <c r="Y70">
        <v>18.3125</v>
      </c>
      <c r="Z70">
        <v>14.5</v>
      </c>
      <c r="AA70">
        <v>11</v>
      </c>
      <c r="AB70">
        <v>37.765574028092203</v>
      </c>
      <c r="AC70">
        <v>32.911848170790897</v>
      </c>
      <c r="AD70">
        <v>35</v>
      </c>
      <c r="AE70">
        <v>1.27460773494095E-3</v>
      </c>
      <c r="AF70">
        <v>8.5156084895134001E-4</v>
      </c>
      <c r="AG70">
        <v>5.0000000000000001E-3</v>
      </c>
      <c r="AH70">
        <v>17731.612167528001</v>
      </c>
      <c r="AI70">
        <v>15889.482950576299</v>
      </c>
      <c r="AJ70">
        <v>6275</v>
      </c>
      <c r="AK70">
        <v>52.920888888888904</v>
      </c>
      <c r="AL70">
        <v>32</v>
      </c>
      <c r="AM70">
        <v>0.60467616232195598</v>
      </c>
    </row>
    <row r="71" spans="1:39" x14ac:dyDescent="0.25">
      <c r="A71" s="24">
        <v>9</v>
      </c>
      <c r="B71" t="s">
        <v>111</v>
      </c>
      <c r="C71">
        <v>80870</v>
      </c>
      <c r="D71">
        <v>33352</v>
      </c>
      <c r="E71">
        <v>24.544421487603302</v>
      </c>
      <c r="F71">
        <v>18</v>
      </c>
      <c r="G71">
        <v>10</v>
      </c>
      <c r="H71">
        <v>49.681242830817901</v>
      </c>
      <c r="I71">
        <v>42.379067705646698</v>
      </c>
      <c r="J71">
        <v>35</v>
      </c>
      <c r="K71">
        <v>2.4451876012100901E-3</v>
      </c>
      <c r="L71">
        <v>1.4105639293789901E-3</v>
      </c>
      <c r="M71">
        <v>5.0000000000000001E-3</v>
      </c>
      <c r="N71">
        <v>13809.089903144701</v>
      </c>
      <c r="O71">
        <v>11977.725770703501</v>
      </c>
      <c r="P71">
        <v>8875</v>
      </c>
      <c r="Q71">
        <v>145.33973333333299</v>
      </c>
      <c r="R71">
        <v>1936</v>
      </c>
      <c r="S71">
        <v>13.3205143259746</v>
      </c>
      <c r="V71" t="s">
        <v>124</v>
      </c>
      <c r="W71">
        <v>16215</v>
      </c>
      <c r="X71">
        <v>14266</v>
      </c>
      <c r="Y71">
        <v>18.214953271028001</v>
      </c>
      <c r="Z71">
        <v>14</v>
      </c>
      <c r="AA71">
        <v>11</v>
      </c>
      <c r="AB71">
        <v>38.526831635833602</v>
      </c>
      <c r="AC71">
        <v>35.536564969879699</v>
      </c>
      <c r="AD71">
        <v>25</v>
      </c>
      <c r="AE71">
        <v>1.3913592154107899E-3</v>
      </c>
      <c r="AF71">
        <v>9.918380677700039E-4</v>
      </c>
      <c r="AG71">
        <v>5.0000000000000001E-3</v>
      </c>
      <c r="AH71">
        <v>18562.143347319699</v>
      </c>
      <c r="AI71">
        <v>14784.459573164</v>
      </c>
      <c r="AJ71">
        <v>6375</v>
      </c>
      <c r="AK71">
        <v>154.63253333333299</v>
      </c>
      <c r="AL71">
        <v>107</v>
      </c>
      <c r="AM71">
        <v>0.69196305391534696</v>
      </c>
    </row>
    <row r="72" spans="1:39" s="26" customFormat="1" x14ac:dyDescent="0.25">
      <c r="A72" s="25">
        <v>10</v>
      </c>
      <c r="B72" t="s">
        <v>112</v>
      </c>
      <c r="C72">
        <v>40599</v>
      </c>
      <c r="D72">
        <v>18290</v>
      </c>
      <c r="E72">
        <v>23.657476139978801</v>
      </c>
      <c r="F72">
        <v>17</v>
      </c>
      <c r="G72">
        <v>10</v>
      </c>
      <c r="H72">
        <v>48.523223530520802</v>
      </c>
      <c r="I72">
        <v>41.3792026339082</v>
      </c>
      <c r="J72">
        <v>35</v>
      </c>
      <c r="K72">
        <v>2.3137266244324501E-3</v>
      </c>
      <c r="L72">
        <v>1.34478890299797E-3</v>
      </c>
      <c r="M72">
        <v>5.0000000000000001E-3</v>
      </c>
      <c r="N72">
        <v>13903.7584525822</v>
      </c>
      <c r="O72">
        <v>12072.245254604701</v>
      </c>
      <c r="P72">
        <v>9575</v>
      </c>
      <c r="Q72">
        <v>79.587555555555596</v>
      </c>
      <c r="R72">
        <v>943</v>
      </c>
      <c r="S72">
        <v>11.8485860436026</v>
      </c>
      <c r="V72" t="s">
        <v>125</v>
      </c>
      <c r="W72">
        <v>16215</v>
      </c>
      <c r="X72">
        <v>14266</v>
      </c>
      <c r="Y72">
        <v>18.214953271028001</v>
      </c>
      <c r="Z72">
        <v>14</v>
      </c>
      <c r="AA72">
        <v>11</v>
      </c>
      <c r="AB72">
        <v>38.526831635833602</v>
      </c>
      <c r="AC72">
        <v>35.536564969879699</v>
      </c>
      <c r="AD72">
        <v>25</v>
      </c>
      <c r="AE72">
        <v>1.3913592154107899E-3</v>
      </c>
      <c r="AF72">
        <v>9.918380677700039E-4</v>
      </c>
      <c r="AG72">
        <v>5.0000000000000001E-3</v>
      </c>
      <c r="AH72">
        <v>18562.143347319699</v>
      </c>
      <c r="AI72">
        <v>14784.459573164</v>
      </c>
      <c r="AJ72">
        <v>6375</v>
      </c>
      <c r="AK72">
        <v>154.63253333333299</v>
      </c>
      <c r="AL72">
        <v>107</v>
      </c>
      <c r="AM72">
        <v>0.69196305391534696</v>
      </c>
    </row>
    <row r="73" spans="1:39" x14ac:dyDescent="0.25">
      <c r="C73">
        <f t="shared" ref="C73:J73" si="59">AVERAGE(C63:C72)</f>
        <v>126874.4</v>
      </c>
      <c r="D73">
        <f t="shared" si="59"/>
        <v>16030.7</v>
      </c>
      <c r="E73">
        <f t="shared" si="59"/>
        <v>97.336635985563788</v>
      </c>
      <c r="F73" s="1">
        <f t="shared" si="59"/>
        <v>27.8</v>
      </c>
      <c r="G73" s="2">
        <f t="shared" si="59"/>
        <v>10.5</v>
      </c>
      <c r="H73">
        <f t="shared" si="59"/>
        <v>75.006973233456307</v>
      </c>
      <c r="I73" s="1">
        <f t="shared" si="59"/>
        <v>53.892066860866677</v>
      </c>
      <c r="J73">
        <f t="shared" si="59"/>
        <v>43</v>
      </c>
      <c r="W73">
        <f t="shared" ref="W73:AM73" si="60">AVERAGE(W63:W72)</f>
        <v>7241.1</v>
      </c>
      <c r="X73">
        <f t="shared" si="60"/>
        <v>5009.7</v>
      </c>
      <c r="Y73">
        <f t="shared" si="60"/>
        <v>24.13624396435112</v>
      </c>
      <c r="Z73" s="1">
        <f t="shared" si="60"/>
        <v>18.55</v>
      </c>
      <c r="AA73" s="2">
        <f t="shared" si="60"/>
        <v>11.2</v>
      </c>
      <c r="AB73">
        <f t="shared" si="60"/>
        <v>41.837000184717866</v>
      </c>
      <c r="AC73" s="1">
        <f t="shared" si="60"/>
        <v>38.6080876669376</v>
      </c>
      <c r="AD73">
        <f t="shared" si="60"/>
        <v>34</v>
      </c>
      <c r="AE73">
        <f t="shared" si="60"/>
        <v>1.6726753639685781E-3</v>
      </c>
      <c r="AF73">
        <f t="shared" si="60"/>
        <v>1.2074262694269414E-3</v>
      </c>
      <c r="AG73">
        <f t="shared" si="60"/>
        <v>4.9999999999999992E-3</v>
      </c>
      <c r="AH73">
        <f t="shared" si="60"/>
        <v>19731.569848994102</v>
      </c>
      <c r="AI73">
        <f t="shared" si="60"/>
        <v>16081.021060574689</v>
      </c>
      <c r="AJ73">
        <f t="shared" si="60"/>
        <v>10160</v>
      </c>
      <c r="AK73">
        <f t="shared" si="60"/>
        <v>68.596906666666584</v>
      </c>
      <c r="AL73">
        <f t="shared" si="60"/>
        <v>90.5</v>
      </c>
      <c r="AM73">
        <f t="shared" si="60"/>
        <v>1.8469094834777251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Amaris Guevara</dc:creator>
  <cp:lastModifiedBy>Amaris Guevara</cp:lastModifiedBy>
  <dcterms:created xsi:type="dcterms:W3CDTF">2025-09-23T08:41:02Z</dcterms:created>
  <dcterms:modified xsi:type="dcterms:W3CDTF">2026-01-14T16:37:04Z</dcterms:modified>
</cp:coreProperties>
</file>